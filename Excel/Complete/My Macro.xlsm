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01 JK\Others\JK Data\ExcelR\09-Oct-2022 9.00 AM to 1.00 PM (Thane)\Excel\"/>
    </mc:Choice>
  </mc:AlternateContent>
  <xr:revisionPtr revIDLastSave="0" documentId="13_ncr:1_{D981DBB6-B71D-40B6-BC49-C6D4BE34BA75}" xr6:coauthVersionLast="47" xr6:coauthVersionMax="47" xr10:uidLastSave="{00000000-0000-0000-0000-000000000000}"/>
  <bookViews>
    <workbookView xWindow="28680" yWindow="-120" windowWidth="19440" windowHeight="11640" firstSheet="2" activeTab="10" xr2:uid="{D3E97479-64B0-4604-ADF1-FA7715CA5B23}"/>
  </bookViews>
  <sheets>
    <sheet name="Tools" sheetId="1" r:id="rId1"/>
    <sheet name="Recording" sheetId="2" r:id="rId2"/>
    <sheet name="Form" sheetId="3" r:id="rId3"/>
    <sheet name="Data" sheetId="4" r:id="rId4"/>
    <sheet name="Relative" sheetId="5" r:id="rId5"/>
    <sheet name="North" sheetId="13" r:id="rId6"/>
    <sheet name="East" sheetId="11" r:id="rId7"/>
    <sheet name="West" sheetId="12" r:id="rId8"/>
    <sheet name="South" sheetId="14" r:id="rId9"/>
    <sheet name="Master" sheetId="16" r:id="rId10"/>
    <sheet name="Coding" sheetId="17" r:id="rId11"/>
  </sheets>
  <functionGroups builtInGroupCount="19"/>
  <definedNames>
    <definedName name="_xlnm._FilterDatabase" localSheetId="4" hidden="1">Relative!$A$1:$I$95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" i="1" l="1"/>
  <c r="F26" i="1"/>
  <c r="F27" i="1"/>
  <c r="F28" i="1"/>
  <c r="F29" i="1"/>
  <c r="F30" i="1"/>
  <c r="F31" i="1"/>
  <c r="D6" i="1"/>
  <c r="C8" i="1"/>
  <c r="C5" i="1"/>
  <c r="C6" i="1" s="1"/>
  <c r="B1" i="17" a="1"/>
  <c r="E4" i="1"/>
  <c r="G25" i="1"/>
  <c r="B1" i="17" l="1"/>
  <c r="F33" i="1"/>
  <c r="F35" i="1" s="1"/>
  <c r="E6" i="1"/>
  <c r="E7" i="1" s="1"/>
  <c r="D7" i="1"/>
  <c r="C9" i="1"/>
  <c r="D8" i="1"/>
  <c r="E8" i="1"/>
  <c r="F6" i="1" l="1"/>
  <c r="F9" i="1"/>
  <c r="D9" i="1"/>
  <c r="E9" i="1"/>
  <c r="C10" i="1"/>
  <c r="C11" i="1" s="1"/>
  <c r="F7" i="1" l="1"/>
  <c r="G6" i="1"/>
  <c r="G10" i="1" s="1"/>
  <c r="F8" i="1"/>
  <c r="F10" i="1"/>
  <c r="E10" i="1"/>
  <c r="D10" i="1"/>
  <c r="C12" i="1"/>
  <c r="E11" i="1"/>
  <c r="F11" i="1"/>
  <c r="D11" i="1"/>
  <c r="G8" i="1" l="1"/>
  <c r="H6" i="1"/>
  <c r="H12" i="1" s="1"/>
  <c r="G9" i="1"/>
  <c r="G7" i="1"/>
  <c r="G11" i="1"/>
  <c r="C13" i="1"/>
  <c r="F12" i="1"/>
  <c r="G12" i="1"/>
  <c r="D12" i="1"/>
  <c r="E12" i="1"/>
  <c r="I6" i="1" l="1"/>
  <c r="H9" i="1"/>
  <c r="H7" i="1"/>
  <c r="H8" i="1"/>
  <c r="H10" i="1"/>
  <c r="H11" i="1"/>
  <c r="C14" i="1"/>
  <c r="H13" i="1"/>
  <c r="I13" i="1"/>
  <c r="D13" i="1"/>
  <c r="E13" i="1"/>
  <c r="G13" i="1"/>
  <c r="F13" i="1"/>
  <c r="I10" i="1" l="1"/>
  <c r="I9" i="1"/>
  <c r="I12" i="1"/>
  <c r="I7" i="1"/>
  <c r="I11" i="1"/>
  <c r="J6" i="1"/>
  <c r="I8" i="1"/>
  <c r="C15" i="1"/>
  <c r="H14" i="1"/>
  <c r="E14" i="1"/>
  <c r="F14" i="1"/>
  <c r="G14" i="1"/>
  <c r="D14" i="1"/>
  <c r="I14" i="1"/>
  <c r="J12" i="1" l="1"/>
  <c r="J9" i="1"/>
  <c r="J11" i="1"/>
  <c r="J13" i="1"/>
  <c r="J7" i="1"/>
  <c r="J10" i="1"/>
  <c r="J8" i="1"/>
  <c r="J14" i="1"/>
  <c r="C16" i="1"/>
  <c r="E15" i="1"/>
  <c r="F15" i="1"/>
  <c r="J15" i="1"/>
  <c r="G15" i="1"/>
  <c r="H15" i="1"/>
  <c r="I15" i="1"/>
  <c r="D15" i="1"/>
  <c r="C17" i="1" l="1"/>
  <c r="F16" i="1"/>
  <c r="G16" i="1"/>
  <c r="H16" i="1"/>
  <c r="I16" i="1"/>
  <c r="J16" i="1"/>
  <c r="E16" i="1"/>
  <c r="D16" i="1"/>
  <c r="C18" i="1" l="1"/>
  <c r="H17" i="1"/>
  <c r="D17" i="1"/>
  <c r="I17" i="1"/>
  <c r="J17" i="1"/>
  <c r="E17" i="1"/>
  <c r="F17" i="1"/>
  <c r="G17" i="1"/>
  <c r="C19" i="1" l="1"/>
  <c r="J18" i="1"/>
  <c r="D18" i="1"/>
  <c r="E18" i="1"/>
  <c r="F18" i="1"/>
  <c r="H18" i="1"/>
  <c r="G18" i="1"/>
  <c r="I18" i="1"/>
  <c r="J19" i="1" l="1"/>
  <c r="E19" i="1"/>
  <c r="F19" i="1"/>
  <c r="D19" i="1"/>
  <c r="G19" i="1"/>
  <c r="H19" i="1"/>
  <c r="I1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<sst xmlns="http://schemas.openxmlformats.org/spreadsheetml/2006/main" count="1415" uniqueCount="218">
  <si>
    <t>Loan amount</t>
  </si>
  <si>
    <t>Interest (p.a.)</t>
  </si>
  <si>
    <t>Tenure</t>
  </si>
  <si>
    <t>Total Months</t>
  </si>
  <si>
    <t>EMI</t>
  </si>
  <si>
    <t>Invoice Approval</t>
  </si>
  <si>
    <t>App/Deny</t>
  </si>
  <si>
    <t>Result</t>
  </si>
  <si>
    <t>Particulars</t>
  </si>
  <si>
    <t>Amount</t>
  </si>
  <si>
    <t>Final Amount</t>
  </si>
  <si>
    <t>Flight</t>
  </si>
  <si>
    <t>Cab</t>
  </si>
  <si>
    <t>Hotel</t>
  </si>
  <si>
    <t>Food</t>
  </si>
  <si>
    <t>Visa</t>
  </si>
  <si>
    <t>Telecom</t>
  </si>
  <si>
    <t>Others</t>
  </si>
  <si>
    <t>Total approved amount</t>
  </si>
  <si>
    <t>Amount not rembersed</t>
  </si>
  <si>
    <t>Excel</t>
  </si>
  <si>
    <t>Sr. No.</t>
  </si>
  <si>
    <t>Name</t>
  </si>
  <si>
    <t>Dept</t>
  </si>
  <si>
    <t>Region</t>
  </si>
  <si>
    <t>DOJ</t>
  </si>
  <si>
    <t>Salary</t>
  </si>
  <si>
    <t>:</t>
  </si>
  <si>
    <t>User Form</t>
  </si>
  <si>
    <t>Jk</t>
  </si>
  <si>
    <t>Sales</t>
  </si>
  <si>
    <t>West</t>
  </si>
  <si>
    <t>Raj</t>
  </si>
  <si>
    <t>Admin</t>
  </si>
  <si>
    <t>NUM</t>
  </si>
  <si>
    <t>FIRST</t>
  </si>
  <si>
    <t>LAST</t>
  </si>
  <si>
    <t>DATE of HIRE</t>
  </si>
  <si>
    <t>HOURLY RATE</t>
  </si>
  <si>
    <t>HRS</t>
  </si>
  <si>
    <t>GROSS PAY</t>
  </si>
  <si>
    <t>Dominick</t>
  </si>
  <si>
    <t>Mazza</t>
  </si>
  <si>
    <t>HR</t>
  </si>
  <si>
    <t>East</t>
  </si>
  <si>
    <t>Richard</t>
  </si>
  <si>
    <t>Gibbs</t>
  </si>
  <si>
    <t>Theodore</t>
  </si>
  <si>
    <t>Ness</t>
  </si>
  <si>
    <t>Laura</t>
  </si>
  <si>
    <t>Reagan</t>
  </si>
  <si>
    <t>North</t>
  </si>
  <si>
    <t>William</t>
  </si>
  <si>
    <t>Abel</t>
  </si>
  <si>
    <t>South</t>
  </si>
  <si>
    <t>Dean</t>
  </si>
  <si>
    <t>Kramer</t>
  </si>
  <si>
    <t>Greg</t>
  </si>
  <si>
    <t>Connors</t>
  </si>
  <si>
    <t>Frank</t>
  </si>
  <si>
    <t>Culbert</t>
  </si>
  <si>
    <t>Holly</t>
  </si>
  <si>
    <t>Taylor</t>
  </si>
  <si>
    <t>Geoff</t>
  </si>
  <si>
    <t>Brown</t>
  </si>
  <si>
    <t>Seth</t>
  </si>
  <si>
    <t>Rose</t>
  </si>
  <si>
    <t>Christina</t>
  </si>
  <si>
    <t>Lillie</t>
  </si>
  <si>
    <t>Anne</t>
  </si>
  <si>
    <t>Davidson</t>
  </si>
  <si>
    <t>Theresa</t>
  </si>
  <si>
    <t>Miller</t>
  </si>
  <si>
    <t>Bill</t>
  </si>
  <si>
    <t>Simpson</t>
  </si>
  <si>
    <t>IT</t>
  </si>
  <si>
    <t>Kim</t>
  </si>
  <si>
    <t>Smith</t>
  </si>
  <si>
    <t>Paul</t>
  </si>
  <si>
    <t>Hoffman</t>
  </si>
  <si>
    <t>Finance</t>
  </si>
  <si>
    <t>Steve</t>
  </si>
  <si>
    <t>Singer</t>
  </si>
  <si>
    <t>Harry</t>
  </si>
  <si>
    <t>Swayne</t>
  </si>
  <si>
    <t>Mktg</t>
  </si>
  <si>
    <t>Joanne</t>
  </si>
  <si>
    <t>Parker</t>
  </si>
  <si>
    <t>Brian</t>
  </si>
  <si>
    <t>Travel</t>
  </si>
  <si>
    <t>Kristen</t>
  </si>
  <si>
    <t>DeVinney</t>
  </si>
  <si>
    <t>Katie</t>
  </si>
  <si>
    <t>Fred</t>
  </si>
  <si>
    <t>Mallory</t>
  </si>
  <si>
    <t>Todd</t>
  </si>
  <si>
    <t>Masters</t>
  </si>
  <si>
    <t>Frieda</t>
  </si>
  <si>
    <t>Binga</t>
  </si>
  <si>
    <t>Sean</t>
  </si>
  <si>
    <t>Willis</t>
  </si>
  <si>
    <t>Chris</t>
  </si>
  <si>
    <t>Reed</t>
  </si>
  <si>
    <t>Jacqueline</t>
  </si>
  <si>
    <t>Banks</t>
  </si>
  <si>
    <t>Hume</t>
  </si>
  <si>
    <t>Lance</t>
  </si>
  <si>
    <t>Davies</t>
  </si>
  <si>
    <t>Michael</t>
  </si>
  <si>
    <t>Lewis</t>
  </si>
  <si>
    <t>Amy</t>
  </si>
  <si>
    <t>Tooley</t>
  </si>
  <si>
    <t>Alice</t>
  </si>
  <si>
    <t>Owens</t>
  </si>
  <si>
    <t>Jeffrey</t>
  </si>
  <si>
    <t>Strong</t>
  </si>
  <si>
    <t>Jane</t>
  </si>
  <si>
    <t>Winters</t>
  </si>
  <si>
    <t>Doug</t>
  </si>
  <si>
    <t>Briscoll</t>
  </si>
  <si>
    <t>Jeri Lynn</t>
  </si>
  <si>
    <t>MacFall</t>
  </si>
  <si>
    <t>James</t>
  </si>
  <si>
    <t>Rich</t>
  </si>
  <si>
    <t>Mary</t>
  </si>
  <si>
    <t>Barber</t>
  </si>
  <si>
    <t>Barry</t>
  </si>
  <si>
    <t>Bally</t>
  </si>
  <si>
    <t>Karina</t>
  </si>
  <si>
    <t>Erin</t>
  </si>
  <si>
    <t>Robert</t>
  </si>
  <si>
    <t>Cuffaro</t>
  </si>
  <si>
    <t>Bob</t>
  </si>
  <si>
    <t>Ambrose</t>
  </si>
  <si>
    <t>Sara</t>
  </si>
  <si>
    <t>Kling</t>
  </si>
  <si>
    <t>George</t>
  </si>
  <si>
    <t>Gorski</t>
  </si>
  <si>
    <t>Kyle</t>
  </si>
  <si>
    <t>Earnhart</t>
  </si>
  <si>
    <t>Molly</t>
  </si>
  <si>
    <t>Steadman</t>
  </si>
  <si>
    <t>Henry</t>
  </si>
  <si>
    <t>Paterson</t>
  </si>
  <si>
    <t>Joshua</t>
  </si>
  <si>
    <t>Maccaluso</t>
  </si>
  <si>
    <t>Esther</t>
  </si>
  <si>
    <t>Williams</t>
  </si>
  <si>
    <t>Brad</t>
  </si>
  <si>
    <t>Hinkelman</t>
  </si>
  <si>
    <t>Richardson</t>
  </si>
  <si>
    <t>Brooks</t>
  </si>
  <si>
    <t>Hillen</t>
  </si>
  <si>
    <t>Lindsey</t>
  </si>
  <si>
    <t>Winger</t>
  </si>
  <si>
    <t>Colleen</t>
  </si>
  <si>
    <t>Helen</t>
  </si>
  <si>
    <t>Stewart</t>
  </si>
  <si>
    <t>Thomas</t>
  </si>
  <si>
    <t>Sung</t>
  </si>
  <si>
    <t>Grace</t>
  </si>
  <si>
    <t>Sloan</t>
  </si>
  <si>
    <t>Jerry</t>
  </si>
  <si>
    <t>McDonald</t>
  </si>
  <si>
    <t>Marianne</t>
  </si>
  <si>
    <t>Calvin</t>
  </si>
  <si>
    <t>Wheeler</t>
  </si>
  <si>
    <t>Carol</t>
  </si>
  <si>
    <t>Tucker</t>
  </si>
  <si>
    <t>Murray</t>
  </si>
  <si>
    <t>Cheryl</t>
  </si>
  <si>
    <t>Halal</t>
  </si>
  <si>
    <t>Shing</t>
  </si>
  <si>
    <t>Chen</t>
  </si>
  <si>
    <t>Feldsott</t>
  </si>
  <si>
    <t>Hill</t>
  </si>
  <si>
    <t>Peter</t>
  </si>
  <si>
    <t>Allen</t>
  </si>
  <si>
    <t>Teri</t>
  </si>
  <si>
    <t>Edward</t>
  </si>
  <si>
    <t>Trelly</t>
  </si>
  <si>
    <t>Lynne</t>
  </si>
  <si>
    <t>Simmons</t>
  </si>
  <si>
    <t>Shirley</t>
  </si>
  <si>
    <t>Dandrow</t>
  </si>
  <si>
    <t>Califano</t>
  </si>
  <si>
    <t>Kathy</t>
  </si>
  <si>
    <t>Mayron</t>
  </si>
  <si>
    <t>Sam</t>
  </si>
  <si>
    <t>Whitney</t>
  </si>
  <si>
    <t>Bradley</t>
  </si>
  <si>
    <t>Howard</t>
  </si>
  <si>
    <t>John</t>
  </si>
  <si>
    <t>Jacobs</t>
  </si>
  <si>
    <t>Tim</t>
  </si>
  <si>
    <t>Barthoff</t>
  </si>
  <si>
    <t>Jayakrishnan</t>
  </si>
  <si>
    <t>Nair</t>
  </si>
  <si>
    <t>Martin</t>
  </si>
  <si>
    <t>Maria</t>
  </si>
  <si>
    <t>Switzer</t>
  </si>
  <si>
    <t>Ted</t>
  </si>
  <si>
    <t>Hayes</t>
  </si>
  <si>
    <t>Donald</t>
  </si>
  <si>
    <t>Reese</t>
  </si>
  <si>
    <t>Altman</t>
  </si>
  <si>
    <t>Paula</t>
  </si>
  <si>
    <t>Robinson</t>
  </si>
  <si>
    <t>Julia</t>
  </si>
  <si>
    <t>Susan</t>
  </si>
  <si>
    <t>Drake</t>
  </si>
  <si>
    <t>Jennifer</t>
  </si>
  <si>
    <t>Snyder</t>
  </si>
  <si>
    <t>Lorrie</t>
  </si>
  <si>
    <t>Sullivan</t>
  </si>
  <si>
    <t>Melanie</t>
  </si>
  <si>
    <t>Bowers</t>
  </si>
  <si>
    <t>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</si>
</sst>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_ * #,##0_ ;_ * \-#,##0_ ;_ * &quot;-&quot;??_ ;_ @_ "/>
    <numFmt numFmtId="165" formatCode="_ * #,##0.0_ ;_ * \-#,##0.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5">
    <xf numFmtId="0" fontId="0" fillId="0" borderId="0" xfId="0"/>
    <xf numFmtId="164" fontId="0" fillId="0" borderId="0" xfId="1" applyNumberFormat="1" applyFont="1"/>
    <xf numFmtId="10" fontId="0" fillId="0" borderId="0" xfId="0" applyNumberFormat="1"/>
    <xf numFmtId="43" fontId="0" fillId="2" borderId="0" xfId="1" applyFont="1" applyFill="1"/>
    <xf numFmtId="0" fontId="0" fillId="0" borderId="0" xfId="0" applyNumberFormat="1"/>
    <xf numFmtId="0" fontId="0" fillId="3" borderId="0" xfId="0" applyFill="1"/>
    <xf numFmtId="164" fontId="0" fillId="3" borderId="0" xfId="1" applyNumberFormat="1" applyFont="1" applyFill="1"/>
    <xf numFmtId="0" fontId="3" fillId="0" borderId="0" xfId="0" applyFont="1"/>
    <xf numFmtId="164" fontId="3" fillId="0" borderId="0" xfId="0" applyNumberFormat="1" applyFont="1"/>
    <xf numFmtId="0" fontId="2" fillId="0" borderId="0" xfId="0" applyFont="1"/>
    <xf numFmtId="164" fontId="2" fillId="0" borderId="0" xfId="0" applyNumberFormat="1" applyFont="1"/>
    <xf numFmtId="0" fontId="0" fillId="4" borderId="4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15" fontId="0" fillId="0" borderId="0" xfId="0" applyNumberFormat="1"/>
    <xf numFmtId="165" fontId="0" fillId="0" borderId="0" xfId="1" applyNumberFormat="1" applyFont="1"/>
    <xf numFmtId="0" fontId="0" fillId="5" borderId="5" xfId="0" applyFill="1" applyBorder="1" applyAlignment="1">
      <alignment horizontal="center"/>
    </xf>
    <xf numFmtId="15" fontId="0" fillId="5" borderId="5" xfId="0" applyNumberFormat="1" applyFill="1" applyBorder="1" applyAlignment="1">
      <alignment horizontal="center"/>
    </xf>
    <xf numFmtId="164" fontId="0" fillId="5" borderId="8" xfId="1" applyNumberFormat="1" applyFont="1" applyFill="1" applyBorder="1" applyAlignment="1">
      <alignment horizontal="center"/>
    </xf>
    <xf numFmtId="164" fontId="3" fillId="0" borderId="0" xfId="1" applyNumberFormat="1" applyFont="1"/>
    <xf numFmtId="15" fontId="3" fillId="0" borderId="0" xfId="0" applyNumberFormat="1" applyFont="1"/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2" fmlaLink="$C$4" max="30" min="1" page="10" val="3"/>
</file>

<file path=xl/ctrlProps/ctrlProp2.xml><?xml version="1.0" encoding="utf-8"?>
<formControlPr xmlns="http://schemas.microsoft.com/office/spreadsheetml/2009/9/main" objectType="Scroll" dx="22" fmlaLink="$C$7" max="18" min="1" page="10"/>
</file>

<file path=xl/ctrlProps/ctrlProp3.xml><?xml version="1.0" encoding="utf-8"?>
<formControlPr xmlns="http://schemas.microsoft.com/office/spreadsheetml/2009/9/main" objectType="Scroll" dx="22" fmlaLink="$D$5" horiz="1" max="10" min="1" page="10"/>
</file>

<file path=xl/ctrlProps/ctrlProp4.xml><?xml version="1.0" encoding="utf-8"?>
<formControlPr xmlns="http://schemas.microsoft.com/office/spreadsheetml/2009/9/main" objectType="CheckBox" checked="Checked" fmlaLink="$C25" lockText="1" noThreeD="1"/>
</file>

<file path=xl/ctrlProps/ctrlProp5.xml><?xml version="1.0" encoding="utf-8"?>
<formControlPr xmlns="http://schemas.microsoft.com/office/spreadsheetml/2009/9/main" objectType="CheckBox" fmlaLink="$C$26" lockText="1" noThreeD="1"/>
</file>

<file path=xl/ctrlProps/ctrlProp6.xml><?xml version="1.0" encoding="utf-8"?>
<formControlPr xmlns="http://schemas.microsoft.com/office/spreadsheetml/2009/9/main" objectType="CheckBox" checked="Checked" fmlaLink="$C$27" lockText="1" noThreeD="1"/>
</file>

<file path=xl/ctrlProps/ctrlProp7.xml><?xml version="1.0" encoding="utf-8"?>
<formControlPr xmlns="http://schemas.microsoft.com/office/spreadsheetml/2009/9/main" objectType="CheckBox" checked="Checked" fmlaLink="$C$28" lockText="1" noThreeD="1"/>
</file>

<file path=xl/ctrlProps/ctrlProp8.xml><?xml version="1.0" encoding="utf-8"?>
<formControlPr xmlns="http://schemas.microsoft.com/office/spreadsheetml/2009/9/main" objectType="CheckBox" fmlaLink="$C$29" lockText="1" noThreeD="1"/>
</file>

<file path=xl/ctrlProps/ctrlProp9.xml><?xml version="1.0" encoding="utf-8"?>
<formControlPr xmlns="http://schemas.microsoft.com/office/spreadsheetml/2009/9/main" objectType="CheckBox" checked="Checked" fmlaLink="$C$30" lockText="1" noThreeD="1"/>
</file>

<file path=xl/ctrlProps/ctrlProp10.xml><?xml version="1.0" encoding="utf-8"?>
<formControlPr xmlns="http://schemas.microsoft.com/office/spreadsheetml/2009/9/main" objectType="CheckBox" fmlaLink="$C$31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180975</xdr:rowOff>
        </xdr:from>
        <xdr:to>
          <xdr:col>3</xdr:col>
          <xdr:colOff>304800</xdr:colOff>
          <xdr:row>3</xdr:row>
          <xdr:rowOff>180975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</xdr:row>
          <xdr:rowOff>9525</xdr:rowOff>
        </xdr:from>
        <xdr:to>
          <xdr:col>2</xdr:col>
          <xdr:colOff>495300</xdr:colOff>
          <xdr:row>18</xdr:row>
          <xdr:rowOff>180975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190500</xdr:rowOff>
        </xdr:from>
        <xdr:to>
          <xdr:col>8</xdr:col>
          <xdr:colOff>400050</xdr:colOff>
          <xdr:row>4</xdr:row>
          <xdr:rowOff>171450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24</xdr:row>
          <xdr:rowOff>9525</xdr:rowOff>
        </xdr:from>
        <xdr:to>
          <xdr:col>1</xdr:col>
          <xdr:colOff>781050</xdr:colOff>
          <xdr:row>25</xdr:row>
          <xdr:rowOff>9525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25</xdr:row>
          <xdr:rowOff>9525</xdr:rowOff>
        </xdr:from>
        <xdr:to>
          <xdr:col>1</xdr:col>
          <xdr:colOff>781050</xdr:colOff>
          <xdr:row>26</xdr:row>
          <xdr:rowOff>9525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26</xdr:row>
          <xdr:rowOff>9525</xdr:rowOff>
        </xdr:from>
        <xdr:to>
          <xdr:col>1</xdr:col>
          <xdr:colOff>781050</xdr:colOff>
          <xdr:row>27</xdr:row>
          <xdr:rowOff>9525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27</xdr:row>
          <xdr:rowOff>9525</xdr:rowOff>
        </xdr:from>
        <xdr:to>
          <xdr:col>1</xdr:col>
          <xdr:colOff>781050</xdr:colOff>
          <xdr:row>28</xdr:row>
          <xdr:rowOff>9525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28</xdr:row>
          <xdr:rowOff>9525</xdr:rowOff>
        </xdr:from>
        <xdr:to>
          <xdr:col>1</xdr:col>
          <xdr:colOff>781050</xdr:colOff>
          <xdr:row>29</xdr:row>
          <xdr:rowOff>9525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9525</xdr:rowOff>
        </xdr:from>
        <xdr:to>
          <xdr:col>1</xdr:col>
          <xdr:colOff>781050</xdr:colOff>
          <xdr:row>30</xdr:row>
          <xdr:rowOff>9525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30</xdr:row>
          <xdr:rowOff>9525</xdr:rowOff>
        </xdr:from>
        <xdr:to>
          <xdr:col>1</xdr:col>
          <xdr:colOff>781050</xdr:colOff>
          <xdr:row>31</xdr:row>
          <xdr:rowOff>9525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48432</xdr:colOff>
      <xdr:row>2</xdr:row>
      <xdr:rowOff>8072</xdr:rowOff>
    </xdr:from>
    <xdr:to>
      <xdr:col>14</xdr:col>
      <xdr:colOff>40360</xdr:colOff>
      <xdr:row>4</xdr:row>
      <xdr:rowOff>0</xdr:rowOff>
    </xdr:to>
    <xdr:sp macro="[0]!Record0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96652" y="395530"/>
          <a:ext cx="1832352" cy="37938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Fix Formatting</a:t>
          </a:r>
        </a:p>
      </xdr:txBody>
    </xdr:sp>
    <xdr:clientData/>
  </xdr:twoCellAnchor>
  <xdr:twoCellAnchor>
    <xdr:from>
      <xdr:col>11</xdr:col>
      <xdr:colOff>40360</xdr:colOff>
      <xdr:row>7</xdr:row>
      <xdr:rowOff>64576</xdr:rowOff>
    </xdr:from>
    <xdr:to>
      <xdr:col>14</xdr:col>
      <xdr:colOff>32288</xdr:colOff>
      <xdr:row>12</xdr:row>
      <xdr:rowOff>8071</xdr:rowOff>
    </xdr:to>
    <xdr:sp macro="[0]!Record02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788580" y="1420678"/>
          <a:ext cx="1832352" cy="912139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Dynamic Formatting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272143</xdr:colOff>
      <xdr:row>8</xdr:row>
      <xdr:rowOff>181428</xdr:rowOff>
    </xdr:from>
    <xdr:to>
      <xdr:col>3</xdr:col>
      <xdr:colOff>1460500</xdr:colOff>
      <xdr:row>9</xdr:row>
      <xdr:rowOff>77107</xdr:rowOff>
    </xdr:to>
    <xdr:sp macro="[0]!Submi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95714" y="1877785"/>
          <a:ext cx="1188357" cy="258536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Submit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57150</xdr:rowOff>
        </xdr:from>
        <xdr:to>
          <xdr:col>14</xdr:col>
          <xdr:colOff>38100</xdr:colOff>
          <xdr:row>3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 Data based on Region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57150</xdr:rowOff>
        </xdr:from>
        <xdr:to>
          <xdr:col>15</xdr:col>
          <xdr:colOff>561975</xdr:colOff>
          <xdr:row>3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E2BB2-4FD8-406A-8828-C937F9DCF873}">
  <sheetPr codeName="Sheet1"/>
  <dimension ref="B2:K35"/>
  <sheetViews>
    <sheetView topLeftCell="A22" zoomScale="141" zoomScaleNormal="140" workbookViewId="0">
      <selection activeCell="F33" sqref="F33"/>
    </sheetView>
  </sheetViews>
  <sheetFormatPr defaultRowHeight="15" x14ac:dyDescent="0.25"/>
  <cols>
    <col min="2" max="2" width="20.140625" customWidth="1"/>
    <col min="3" max="3" width="18.140625" customWidth="1"/>
    <col min="4" max="4" width="12.7109375" bestFit="1" customWidth="1"/>
    <col min="5" max="5" width="15.140625" customWidth="1"/>
    <col min="6" max="6" width="15.85546875" customWidth="1"/>
    <col min="7" max="10" width="12.42578125" bestFit="1" customWidth="1"/>
  </cols>
  <sheetData>
    <row r="2" spans="2:11" x14ac:dyDescent="0.25">
      <c r="B2" t="s">
        <v>0</v>
      </c>
      <c r="C2" s="1">
        <v>100000</v>
      </c>
    </row>
    <row r="3" spans="2:11" x14ac:dyDescent="0.25">
      <c r="B3" t="s">
        <v>1</v>
      </c>
      <c r="C3" s="2">
        <v>0.125</v>
      </c>
    </row>
    <row r="4" spans="2:11" x14ac:dyDescent="0.25">
      <c r="B4" t="s">
        <v>2</v>
      </c>
      <c r="C4" s="4">
        <v>3</v>
      </c>
      <c r="E4" t="str">
        <f ca="1">_xlfn.FORMULATEXT(D7)</f>
        <v>=-PMT($C$3/12,$C7*12,D$6)</v>
      </c>
    </row>
    <row r="5" spans="2:11" x14ac:dyDescent="0.25">
      <c r="B5" t="s">
        <v>3</v>
      </c>
      <c r="C5">
        <f>C4*12</f>
        <v>36</v>
      </c>
      <c r="D5">
        <v>1</v>
      </c>
    </row>
    <row r="6" spans="2:11" x14ac:dyDescent="0.25">
      <c r="B6" t="s">
        <v>4</v>
      </c>
      <c r="C6" s="3">
        <f>-PMT(C3/12,C5,C2)</f>
        <v>3345.3625576716522</v>
      </c>
      <c r="D6" s="6">
        <f>D5*10^5</f>
        <v>100000</v>
      </c>
      <c r="E6" s="1">
        <f>D6+50000</f>
        <v>150000</v>
      </c>
      <c r="F6" s="1">
        <f t="shared" ref="F6:J6" si="0">E6+50000</f>
        <v>200000</v>
      </c>
      <c r="G6" s="1">
        <f t="shared" si="0"/>
        <v>250000</v>
      </c>
      <c r="H6" s="1">
        <f t="shared" si="0"/>
        <v>300000</v>
      </c>
      <c r="I6" s="1">
        <f t="shared" si="0"/>
        <v>350000</v>
      </c>
      <c r="J6" s="1">
        <f t="shared" si="0"/>
        <v>400000</v>
      </c>
      <c r="K6" s="1"/>
    </row>
    <row r="7" spans="2:11" x14ac:dyDescent="0.25">
      <c r="C7" s="5">
        <v>1</v>
      </c>
      <c r="D7" s="1">
        <f>-PMT($C$3/12,$C7*12,D$6)</f>
        <v>8908.2862710600239</v>
      </c>
      <c r="E7" s="1">
        <f t="shared" ref="E7:J7" si="1">-PMT($C$3/12,$C7*12,E$6)</f>
        <v>13362.429406590034</v>
      </c>
      <c r="F7" s="1">
        <f t="shared" si="1"/>
        <v>17816.572542120048</v>
      </c>
      <c r="G7" s="1">
        <f t="shared" si="1"/>
        <v>22270.715677650056</v>
      </c>
      <c r="H7" s="1">
        <f t="shared" si="1"/>
        <v>26724.858813180068</v>
      </c>
      <c r="I7" s="1">
        <f t="shared" si="1"/>
        <v>31179.001948710084</v>
      </c>
      <c r="J7" s="1">
        <f t="shared" si="1"/>
        <v>35633.145084240095</v>
      </c>
    </row>
    <row r="8" spans="2:11" x14ac:dyDescent="0.25">
      <c r="C8">
        <f>C7+1</f>
        <v>2</v>
      </c>
      <c r="D8" s="1">
        <f t="shared" ref="D8:J19" si="2">-PMT($C$3/12,$C8*12,D$6)</f>
        <v>4730.7308235499513</v>
      </c>
      <c r="E8" s="1">
        <f t="shared" si="2"/>
        <v>7096.0962353249279</v>
      </c>
      <c r="F8" s="1">
        <f t="shared" si="2"/>
        <v>9461.4616470999026</v>
      </c>
      <c r="G8" s="1">
        <f t="shared" si="2"/>
        <v>11826.827058874878</v>
      </c>
      <c r="H8" s="1">
        <f t="shared" si="2"/>
        <v>14192.192470649856</v>
      </c>
      <c r="I8" s="1">
        <f t="shared" si="2"/>
        <v>16557.55788242483</v>
      </c>
      <c r="J8" s="1">
        <f t="shared" si="2"/>
        <v>18922.923294199805</v>
      </c>
    </row>
    <row r="9" spans="2:11" x14ac:dyDescent="0.25">
      <c r="C9">
        <f t="shared" ref="C9:C19" si="3">C8+1</f>
        <v>3</v>
      </c>
      <c r="D9" s="1">
        <f t="shared" si="2"/>
        <v>3345.3625576716522</v>
      </c>
      <c r="E9" s="1">
        <f t="shared" si="2"/>
        <v>5018.0438365074788</v>
      </c>
      <c r="F9" s="1">
        <f t="shared" si="2"/>
        <v>6690.7251153433044</v>
      </c>
      <c r="G9" s="1">
        <f t="shared" si="2"/>
        <v>8363.4063941791319</v>
      </c>
      <c r="H9" s="1">
        <f t="shared" si="2"/>
        <v>10036.087673014958</v>
      </c>
      <c r="I9" s="1">
        <f t="shared" si="2"/>
        <v>11708.768951850783</v>
      </c>
      <c r="J9" s="1">
        <f t="shared" si="2"/>
        <v>13381.450230686609</v>
      </c>
    </row>
    <row r="10" spans="2:11" x14ac:dyDescent="0.25">
      <c r="C10">
        <f t="shared" si="3"/>
        <v>4</v>
      </c>
      <c r="D10" s="1">
        <f t="shared" si="2"/>
        <v>2657.9998891771183</v>
      </c>
      <c r="E10" s="1">
        <f t="shared" si="2"/>
        <v>3986.999833765678</v>
      </c>
      <c r="F10" s="1">
        <f t="shared" si="2"/>
        <v>5315.9997783542367</v>
      </c>
      <c r="G10" s="1">
        <f t="shared" si="2"/>
        <v>6644.9997229427972</v>
      </c>
      <c r="H10" s="1">
        <f t="shared" si="2"/>
        <v>7973.999667531356</v>
      </c>
      <c r="I10" s="1">
        <f t="shared" si="2"/>
        <v>9302.9996121199147</v>
      </c>
      <c r="J10" s="1">
        <f t="shared" si="2"/>
        <v>10631.999556708473</v>
      </c>
    </row>
    <row r="11" spans="2:11" x14ac:dyDescent="0.25">
      <c r="C11">
        <f t="shared" si="3"/>
        <v>5</v>
      </c>
      <c r="D11" s="1">
        <f t="shared" si="2"/>
        <v>2249.7938225415837</v>
      </c>
      <c r="E11" s="1">
        <f t="shared" si="2"/>
        <v>3374.6907338123756</v>
      </c>
      <c r="F11" s="1">
        <f t="shared" si="2"/>
        <v>4499.5876450831674</v>
      </c>
      <c r="G11" s="1">
        <f t="shared" si="2"/>
        <v>5624.4845563539602</v>
      </c>
      <c r="H11" s="1">
        <f t="shared" si="2"/>
        <v>6749.3814676247512</v>
      </c>
      <c r="I11" s="1">
        <f t="shared" si="2"/>
        <v>7874.2783788955439</v>
      </c>
      <c r="J11" s="1">
        <f t="shared" si="2"/>
        <v>8999.1752901663349</v>
      </c>
    </row>
    <row r="12" spans="2:11" x14ac:dyDescent="0.25">
      <c r="C12">
        <f t="shared" si="3"/>
        <v>6</v>
      </c>
      <c r="D12" s="1">
        <f t="shared" si="2"/>
        <v>1981.1178701635063</v>
      </c>
      <c r="E12" s="1">
        <f t="shared" si="2"/>
        <v>2971.6768052452594</v>
      </c>
      <c r="F12" s="1">
        <f t="shared" si="2"/>
        <v>3962.2357403270125</v>
      </c>
      <c r="G12" s="1">
        <f t="shared" si="2"/>
        <v>4952.7946754087652</v>
      </c>
      <c r="H12" s="1">
        <f t="shared" si="2"/>
        <v>5943.3536104905188</v>
      </c>
      <c r="I12" s="1">
        <f t="shared" si="2"/>
        <v>6933.9125455722715</v>
      </c>
      <c r="J12" s="1">
        <f t="shared" si="2"/>
        <v>7924.4714806540251</v>
      </c>
    </row>
    <row r="13" spans="2:11" x14ac:dyDescent="0.25">
      <c r="C13">
        <f t="shared" si="3"/>
        <v>7</v>
      </c>
      <c r="D13" s="1">
        <f t="shared" si="2"/>
        <v>1792.1238426315169</v>
      </c>
      <c r="E13" s="1">
        <f t="shared" si="2"/>
        <v>2688.1857639472755</v>
      </c>
      <c r="F13" s="1">
        <f t="shared" si="2"/>
        <v>3584.2476852630339</v>
      </c>
      <c r="G13" s="1">
        <f t="shared" si="2"/>
        <v>4480.3096065787922</v>
      </c>
      <c r="H13" s="1">
        <f t="shared" si="2"/>
        <v>5376.371527894551</v>
      </c>
      <c r="I13" s="1">
        <f t="shared" si="2"/>
        <v>6272.4334492103089</v>
      </c>
      <c r="J13" s="1">
        <f t="shared" si="2"/>
        <v>7168.4953705260677</v>
      </c>
    </row>
    <row r="14" spans="2:11" x14ac:dyDescent="0.25">
      <c r="C14">
        <f t="shared" si="3"/>
        <v>8</v>
      </c>
      <c r="D14" s="1">
        <f t="shared" si="2"/>
        <v>1652.8808649815833</v>
      </c>
      <c r="E14" s="1">
        <f t="shared" si="2"/>
        <v>2479.3212974723747</v>
      </c>
      <c r="F14" s="1">
        <f t="shared" si="2"/>
        <v>3305.7617299631665</v>
      </c>
      <c r="G14" s="1">
        <f t="shared" si="2"/>
        <v>4132.2021624539584</v>
      </c>
      <c r="H14" s="1">
        <f t="shared" si="2"/>
        <v>4958.6425949447494</v>
      </c>
      <c r="I14" s="1">
        <f t="shared" si="2"/>
        <v>5785.0830274355412</v>
      </c>
      <c r="J14" s="1">
        <f t="shared" si="2"/>
        <v>6611.5234599263331</v>
      </c>
    </row>
    <row r="15" spans="2:11" x14ac:dyDescent="0.25">
      <c r="C15">
        <f t="shared" si="3"/>
        <v>9</v>
      </c>
      <c r="D15" s="1">
        <f t="shared" si="2"/>
        <v>1546.7551017600895</v>
      </c>
      <c r="E15" s="1">
        <f t="shared" si="2"/>
        <v>2320.1326526401344</v>
      </c>
      <c r="F15" s="1">
        <f t="shared" si="2"/>
        <v>3093.5102035201789</v>
      </c>
      <c r="G15" s="1">
        <f t="shared" si="2"/>
        <v>3866.8877544002235</v>
      </c>
      <c r="H15" s="1">
        <f t="shared" si="2"/>
        <v>4640.2653052802689</v>
      </c>
      <c r="I15" s="1">
        <f t="shared" si="2"/>
        <v>5413.6428561603134</v>
      </c>
      <c r="J15" s="1">
        <f t="shared" si="2"/>
        <v>6187.0204070403579</v>
      </c>
    </row>
    <row r="16" spans="2:11" x14ac:dyDescent="0.25">
      <c r="C16">
        <f t="shared" si="3"/>
        <v>10</v>
      </c>
      <c r="D16" s="1">
        <f t="shared" si="2"/>
        <v>1463.7616867300817</v>
      </c>
      <c r="E16" s="1">
        <f t="shared" si="2"/>
        <v>2195.6425300951228</v>
      </c>
      <c r="F16" s="1">
        <f t="shared" si="2"/>
        <v>2927.5233734601634</v>
      </c>
      <c r="G16" s="1">
        <f t="shared" si="2"/>
        <v>3659.4042168252045</v>
      </c>
      <c r="H16" s="1">
        <f t="shared" si="2"/>
        <v>4391.2850601902455</v>
      </c>
      <c r="I16" s="1">
        <f t="shared" si="2"/>
        <v>5123.1659035552857</v>
      </c>
      <c r="J16" s="1">
        <f t="shared" si="2"/>
        <v>5855.0467469203268</v>
      </c>
    </row>
    <row r="17" spans="2:10" x14ac:dyDescent="0.25">
      <c r="C17">
        <f t="shared" si="3"/>
        <v>11</v>
      </c>
      <c r="D17" s="1">
        <f t="shared" si="2"/>
        <v>1397.5429011037979</v>
      </c>
      <c r="E17" s="1">
        <f t="shared" si="2"/>
        <v>2096.314351655697</v>
      </c>
      <c r="F17" s="1">
        <f t="shared" si="2"/>
        <v>2795.0858022075959</v>
      </c>
      <c r="G17" s="1">
        <f t="shared" si="2"/>
        <v>3493.8572527594952</v>
      </c>
      <c r="H17" s="1">
        <f t="shared" si="2"/>
        <v>4192.628703311394</v>
      </c>
      <c r="I17" s="1">
        <f t="shared" si="2"/>
        <v>4891.4001538632929</v>
      </c>
      <c r="J17" s="1">
        <f t="shared" si="2"/>
        <v>5590.1716044151917</v>
      </c>
    </row>
    <row r="18" spans="2:10" x14ac:dyDescent="0.25">
      <c r="C18">
        <f t="shared" si="3"/>
        <v>12</v>
      </c>
      <c r="D18" s="1">
        <f t="shared" si="2"/>
        <v>1343.857281403793</v>
      </c>
      <c r="E18" s="1">
        <f t="shared" si="2"/>
        <v>2015.7859221056897</v>
      </c>
      <c r="F18" s="1">
        <f t="shared" si="2"/>
        <v>2687.7145628075859</v>
      </c>
      <c r="G18" s="1">
        <f t="shared" si="2"/>
        <v>3359.6432035094826</v>
      </c>
      <c r="H18" s="1">
        <f t="shared" si="2"/>
        <v>4031.5718442113794</v>
      </c>
      <c r="I18" s="1">
        <f t="shared" si="2"/>
        <v>4703.5004849132756</v>
      </c>
      <c r="J18" s="1">
        <f t="shared" si="2"/>
        <v>5375.4291256151719</v>
      </c>
    </row>
    <row r="19" spans="2:10" x14ac:dyDescent="0.25">
      <c r="C19">
        <f t="shared" si="3"/>
        <v>13</v>
      </c>
      <c r="D19" s="1">
        <f t="shared" si="2"/>
        <v>1299.7660727702209</v>
      </c>
      <c r="E19" s="1">
        <f t="shared" si="2"/>
        <v>1949.6491091553316</v>
      </c>
      <c r="F19" s="1">
        <f t="shared" si="2"/>
        <v>2599.5321455404419</v>
      </c>
      <c r="G19" s="1">
        <f t="shared" si="2"/>
        <v>3249.4151819255521</v>
      </c>
      <c r="H19" s="1">
        <f t="shared" si="2"/>
        <v>3899.2982183106633</v>
      </c>
      <c r="I19" s="1">
        <f t="shared" si="2"/>
        <v>4549.1812546957735</v>
      </c>
      <c r="J19" s="1">
        <f t="shared" si="2"/>
        <v>5199.0642910808838</v>
      </c>
    </row>
    <row r="22" spans="2:10" x14ac:dyDescent="0.25">
      <c r="B22" s="7" t="s">
        <v>5</v>
      </c>
    </row>
    <row r="24" spans="2:10" x14ac:dyDescent="0.25">
      <c r="B24" s="7" t="s">
        <v>6</v>
      </c>
      <c r="C24" s="7" t="s">
        <v>7</v>
      </c>
      <c r="D24" s="7" t="s">
        <v>8</v>
      </c>
      <c r="E24" s="7" t="s">
        <v>9</v>
      </c>
      <c r="F24" s="7" t="s">
        <v>10</v>
      </c>
    </row>
    <row r="25" spans="2:10" x14ac:dyDescent="0.25">
      <c r="C25" t="b">
        <v>1</v>
      </c>
      <c r="D25" t="s">
        <v>11</v>
      </c>
      <c r="E25" s="1">
        <v>15000</v>
      </c>
      <c r="F25" s="1">
        <f>C25*E25</f>
        <v>15000</v>
      </c>
      <c r="G25" t="str">
        <f ca="1">_xlfn.FORMULATEXT(F25)</f>
        <v>=C25*E25</v>
      </c>
    </row>
    <row r="26" spans="2:10" x14ac:dyDescent="0.25">
      <c r="C26" t="b">
        <v>0</v>
      </c>
      <c r="D26" t="s">
        <v>12</v>
      </c>
      <c r="E26" s="1">
        <v>25000</v>
      </c>
      <c r="F26" s="1">
        <f t="shared" ref="F26:F31" si="4">C26*E26</f>
        <v>0</v>
      </c>
    </row>
    <row r="27" spans="2:10" x14ac:dyDescent="0.25">
      <c r="C27" t="b">
        <v>1</v>
      </c>
      <c r="D27" t="s">
        <v>13</v>
      </c>
      <c r="E27" s="1">
        <v>38000</v>
      </c>
      <c r="F27" s="1">
        <f t="shared" si="4"/>
        <v>38000</v>
      </c>
    </row>
    <row r="28" spans="2:10" x14ac:dyDescent="0.25">
      <c r="C28" t="b">
        <v>1</v>
      </c>
      <c r="D28" t="s">
        <v>14</v>
      </c>
      <c r="E28" s="1">
        <v>75000</v>
      </c>
      <c r="F28" s="1">
        <f t="shared" si="4"/>
        <v>75000</v>
      </c>
    </row>
    <row r="29" spans="2:10" x14ac:dyDescent="0.25">
      <c r="C29" t="b">
        <v>0</v>
      </c>
      <c r="D29" t="s">
        <v>15</v>
      </c>
      <c r="E29" s="1">
        <v>18000</v>
      </c>
      <c r="F29" s="1">
        <f t="shared" si="4"/>
        <v>0</v>
      </c>
    </row>
    <row r="30" spans="2:10" x14ac:dyDescent="0.25">
      <c r="C30" t="b">
        <v>1</v>
      </c>
      <c r="D30" t="s">
        <v>16</v>
      </c>
      <c r="E30" s="1">
        <v>5700</v>
      </c>
      <c r="F30" s="1">
        <f t="shared" si="4"/>
        <v>5700</v>
      </c>
    </row>
    <row r="31" spans="2:10" x14ac:dyDescent="0.25">
      <c r="C31" t="b">
        <v>0</v>
      </c>
      <c r="D31" t="s">
        <v>17</v>
      </c>
      <c r="E31" s="1">
        <v>79300</v>
      </c>
      <c r="F31" s="1">
        <f t="shared" si="4"/>
        <v>0</v>
      </c>
    </row>
    <row r="33" spans="4:6" x14ac:dyDescent="0.25">
      <c r="D33" s="7" t="s">
        <v>18</v>
      </c>
      <c r="F33" s="8">
        <f>SUM(F25:F32)</f>
        <v>133700</v>
      </c>
    </row>
    <row r="35" spans="4:6" x14ac:dyDescent="0.25">
      <c r="D35" s="9" t="s">
        <v>19</v>
      </c>
      <c r="E35" s="9"/>
      <c r="F35" s="10">
        <f>-(SUM(E25:E31)-F33)</f>
        <v>-122300</v>
      </c>
    </row>
  </sheetData>
  <conditionalFormatting sqref="C25:C31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3</xdr:col>
                    <xdr:colOff>19050</xdr:colOff>
                    <xdr:row>2</xdr:row>
                    <xdr:rowOff>180975</xdr:rowOff>
                  </from>
                  <to>
                    <xdr:col>3</xdr:col>
                    <xdr:colOff>304800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croll Bar 3">
              <controlPr defaultSize="0" autoPict="0">
                <anchor moveWithCells="1">
                  <from>
                    <xdr:col>2</xdr:col>
                    <xdr:colOff>28575</xdr:colOff>
                    <xdr:row>6</xdr:row>
                    <xdr:rowOff>9525</xdr:rowOff>
                  </from>
                  <to>
                    <xdr:col>2</xdr:col>
                    <xdr:colOff>495300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croll Bar 4">
              <controlPr defaultSize="0" autoPict="0">
                <anchor moveWithCells="1">
                  <from>
                    <xdr:col>4</xdr:col>
                    <xdr:colOff>38100</xdr:colOff>
                    <xdr:row>3</xdr:row>
                    <xdr:rowOff>190500</xdr:rowOff>
                  </from>
                  <to>
                    <xdr:col>8</xdr:col>
                    <xdr:colOff>400050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1</xdr:col>
                    <xdr:colOff>533400</xdr:colOff>
                    <xdr:row>24</xdr:row>
                    <xdr:rowOff>9525</xdr:rowOff>
                  </from>
                  <to>
                    <xdr:col>1</xdr:col>
                    <xdr:colOff>781050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1</xdr:col>
                    <xdr:colOff>533400</xdr:colOff>
                    <xdr:row>25</xdr:row>
                    <xdr:rowOff>9525</xdr:rowOff>
                  </from>
                  <to>
                    <xdr:col>1</xdr:col>
                    <xdr:colOff>781050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1</xdr:col>
                    <xdr:colOff>533400</xdr:colOff>
                    <xdr:row>26</xdr:row>
                    <xdr:rowOff>9525</xdr:rowOff>
                  </from>
                  <to>
                    <xdr:col>1</xdr:col>
                    <xdr:colOff>781050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1</xdr:col>
                    <xdr:colOff>533400</xdr:colOff>
                    <xdr:row>27</xdr:row>
                    <xdr:rowOff>9525</xdr:rowOff>
                  </from>
                  <to>
                    <xdr:col>1</xdr:col>
                    <xdr:colOff>781050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1</xdr:col>
                    <xdr:colOff>533400</xdr:colOff>
                    <xdr:row>28</xdr:row>
                    <xdr:rowOff>9525</xdr:rowOff>
                  </from>
                  <to>
                    <xdr:col>1</xdr:col>
                    <xdr:colOff>781050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1</xdr:col>
                    <xdr:colOff>533400</xdr:colOff>
                    <xdr:row>29</xdr:row>
                    <xdr:rowOff>9525</xdr:rowOff>
                  </from>
                  <to>
                    <xdr:col>1</xdr:col>
                    <xdr:colOff>781050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1</xdr:col>
                    <xdr:colOff>533400</xdr:colOff>
                    <xdr:row>30</xdr:row>
                    <xdr:rowOff>9525</xdr:rowOff>
                  </from>
                  <to>
                    <xdr:col>1</xdr:col>
                    <xdr:colOff>781050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D840E-0D12-410E-9325-5E02B8538519}">
  <sheetPr codeName="Sheet2"/>
  <dimension ref="B2:I14"/>
  <sheetViews>
    <sheetView zoomScale="118" zoomScaleNormal="205" workbookViewId="0">
      <selection activeCell="E11" sqref="E11"/>
    </sheetView>
  </sheetViews>
  <sheetFormatPr defaultRowHeight="15" x14ac:dyDescent="0.25"/>
  <sheetData>
    <row r="2" spans="2:9" x14ac:dyDescent="0.25">
      <c r="B2" t="s">
        <v>20</v>
      </c>
      <c r="C2" t="s">
        <v>20</v>
      </c>
      <c r="D2" t="s">
        <v>20</v>
      </c>
      <c r="E2" t="s">
        <v>20</v>
      </c>
      <c r="F2" t="s">
        <v>20</v>
      </c>
      <c r="G2" t="s">
        <v>20</v>
      </c>
      <c r="H2" t="s">
        <v>20</v>
      </c>
      <c r="I2" t="s">
        <v>20</v>
      </c>
    </row>
    <row r="3" spans="2:9" x14ac:dyDescent="0.25">
      <c r="B3" t="s">
        <v>20</v>
      </c>
      <c r="C3" t="s">
        <v>20</v>
      </c>
      <c r="D3" t="s">
        <v>20</v>
      </c>
      <c r="E3" t="s">
        <v>20</v>
      </c>
      <c r="F3" t="s">
        <v>20</v>
      </c>
      <c r="G3" t="s">
        <v>20</v>
      </c>
      <c r="H3" t="s">
        <v>20</v>
      </c>
      <c r="I3" t="s">
        <v>20</v>
      </c>
    </row>
    <row r="4" spans="2:9" x14ac:dyDescent="0.25">
      <c r="B4" t="s">
        <v>20</v>
      </c>
      <c r="C4" t="s">
        <v>20</v>
      </c>
      <c r="D4" t="s">
        <v>20</v>
      </c>
      <c r="E4" t="s">
        <v>20</v>
      </c>
      <c r="F4" t="s">
        <v>20</v>
      </c>
      <c r="G4" t="s">
        <v>20</v>
      </c>
      <c r="H4" t="s">
        <v>20</v>
      </c>
      <c r="I4" t="s">
        <v>20</v>
      </c>
    </row>
    <row r="5" spans="2:9" x14ac:dyDescent="0.25">
      <c r="B5" t="s">
        <v>20</v>
      </c>
      <c r="C5" t="s">
        <v>20</v>
      </c>
      <c r="D5" t="s">
        <v>20</v>
      </c>
      <c r="E5" t="s">
        <v>20</v>
      </c>
      <c r="F5" t="s">
        <v>20</v>
      </c>
      <c r="G5" t="s">
        <v>20</v>
      </c>
      <c r="H5" t="s">
        <v>20</v>
      </c>
      <c r="I5" t="s">
        <v>20</v>
      </c>
    </row>
    <row r="6" spans="2:9" x14ac:dyDescent="0.25">
      <c r="B6" t="s">
        <v>20</v>
      </c>
      <c r="C6" t="s">
        <v>20</v>
      </c>
      <c r="D6" t="s">
        <v>20</v>
      </c>
      <c r="E6" t="s">
        <v>20</v>
      </c>
      <c r="F6" t="s">
        <v>20</v>
      </c>
      <c r="G6" t="s">
        <v>20</v>
      </c>
      <c r="H6" t="s">
        <v>20</v>
      </c>
      <c r="I6" t="s">
        <v>20</v>
      </c>
    </row>
    <row r="7" spans="2:9" x14ac:dyDescent="0.25">
      <c r="B7" t="s">
        <v>20</v>
      </c>
      <c r="C7" t="s">
        <v>20</v>
      </c>
      <c r="D7" t="s">
        <v>20</v>
      </c>
      <c r="E7" t="s">
        <v>20</v>
      </c>
      <c r="F7" t="s">
        <v>20</v>
      </c>
      <c r="G7" t="s">
        <v>20</v>
      </c>
      <c r="H7" t="s">
        <v>20</v>
      </c>
      <c r="I7" t="s">
        <v>20</v>
      </c>
    </row>
    <row r="8" spans="2:9" x14ac:dyDescent="0.25">
      <c r="B8" t="s">
        <v>20</v>
      </c>
      <c r="C8" t="s">
        <v>20</v>
      </c>
      <c r="D8" t="s">
        <v>20</v>
      </c>
      <c r="E8" t="s">
        <v>20</v>
      </c>
      <c r="F8" t="s">
        <v>20</v>
      </c>
      <c r="G8" t="s">
        <v>20</v>
      </c>
      <c r="H8" t="s">
        <v>20</v>
      </c>
      <c r="I8" t="s">
        <v>20</v>
      </c>
    </row>
    <row r="9" spans="2:9" x14ac:dyDescent="0.25">
      <c r="B9" t="s">
        <v>20</v>
      </c>
      <c r="C9" t="s">
        <v>20</v>
      </c>
      <c r="D9" t="s">
        <v>20</v>
      </c>
      <c r="E9" t="s">
        <v>20</v>
      </c>
      <c r="F9" t="s">
        <v>20</v>
      </c>
      <c r="G9" t="s">
        <v>20</v>
      </c>
      <c r="H9" t="s">
        <v>20</v>
      </c>
      <c r="I9" t="s">
        <v>20</v>
      </c>
    </row>
    <row r="10" spans="2:9" x14ac:dyDescent="0.25">
      <c r="B10" t="s">
        <v>20</v>
      </c>
      <c r="C10" t="s">
        <v>20</v>
      </c>
      <c r="D10" t="s">
        <v>20</v>
      </c>
      <c r="E10" t="s">
        <v>20</v>
      </c>
      <c r="F10" t="s">
        <v>20</v>
      </c>
      <c r="G10" t="s">
        <v>20</v>
      </c>
      <c r="H10" t="s">
        <v>20</v>
      </c>
      <c r="I10" t="s">
        <v>20</v>
      </c>
    </row>
    <row r="11" spans="2:9" x14ac:dyDescent="0.25">
      <c r="B11" t="s">
        <v>20</v>
      </c>
      <c r="C11" t="s">
        <v>20</v>
      </c>
      <c r="D11" t="s">
        <v>20</v>
      </c>
      <c r="E11" t="s">
        <v>20</v>
      </c>
      <c r="F11" t="s">
        <v>20</v>
      </c>
      <c r="G11" t="s">
        <v>20</v>
      </c>
      <c r="H11" t="s">
        <v>20</v>
      </c>
      <c r="I11" t="s">
        <v>20</v>
      </c>
    </row>
    <row r="12" spans="2:9" x14ac:dyDescent="0.25">
      <c r="B12" t="s">
        <v>20</v>
      </c>
      <c r="C12" t="s">
        <v>20</v>
      </c>
      <c r="D12" t="s">
        <v>20</v>
      </c>
      <c r="E12" t="s">
        <v>20</v>
      </c>
      <c r="F12" t="s">
        <v>20</v>
      </c>
      <c r="G12" t="s">
        <v>20</v>
      </c>
      <c r="H12" t="s">
        <v>20</v>
      </c>
      <c r="I12" t="s">
        <v>20</v>
      </c>
    </row>
    <row r="13" spans="2:9" x14ac:dyDescent="0.25">
      <c r="B13" t="s">
        <v>20</v>
      </c>
      <c r="C13" t="s">
        <v>20</v>
      </c>
      <c r="D13" t="s">
        <v>20</v>
      </c>
      <c r="E13" t="s">
        <v>20</v>
      </c>
      <c r="F13" t="s">
        <v>20</v>
      </c>
      <c r="G13" t="s">
        <v>20</v>
      </c>
      <c r="H13" t="s">
        <v>20</v>
      </c>
      <c r="I13" t="s">
        <v>20</v>
      </c>
    </row>
    <row r="14" spans="2:9" x14ac:dyDescent="0.25">
      <c r="B14" t="s">
        <v>20</v>
      </c>
      <c r="C14" t="s">
        <v>20</v>
      </c>
      <c r="D14" t="s">
        <v>20</v>
      </c>
      <c r="E14" t="s">
        <v>20</v>
      </c>
      <c r="F14" t="s">
        <v>20</v>
      </c>
      <c r="G14" t="s">
        <v>20</v>
      </c>
      <c r="H14" t="s">
        <v>20</v>
      </c>
      <c r="I14" t="s">
        <v>20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69ED8-3DA8-4EF1-96FE-F6F12C911B23}">
  <sheetPr codeName="Sheet3"/>
  <dimension ref="A1:E10"/>
  <sheetViews>
    <sheetView zoomScale="210" zoomScaleNormal="210" workbookViewId="0">
      <selection activeCell="D3" sqref="D3"/>
    </sheetView>
  </sheetViews>
  <sheetFormatPr defaultColWidth="0" defaultRowHeight="15" zeroHeight="1" x14ac:dyDescent="0.25"/>
  <cols>
    <col min="1" max="1" width="9.140625" customWidth="1"/>
    <col min="2" max="2" width="15.42578125" customWidth="1"/>
    <col min="3" max="3" width="1.28515625" customWidth="1"/>
    <col min="4" max="4" width="23.140625" customWidth="1"/>
    <col min="5" max="5" width="9.140625" customWidth="1"/>
    <col min="6" max="16384" width="9.140625" hidden="1"/>
  </cols>
  <sheetData>
    <row r="1" spans="1:5" x14ac:dyDescent="0.25">
      <c r="A1" s="5"/>
      <c r="B1" s="5"/>
      <c r="C1" s="5"/>
      <c r="D1" s="5"/>
      <c r="E1" s="5"/>
    </row>
    <row r="2" spans="1:5" ht="28.5" x14ac:dyDescent="0.45">
      <c r="A2" s="5"/>
      <c r="B2" s="22" t="s">
        <v>28</v>
      </c>
      <c r="C2" s="23"/>
      <c r="D2" s="24"/>
      <c r="E2" s="5"/>
    </row>
    <row r="3" spans="1:5" x14ac:dyDescent="0.25">
      <c r="A3" s="5"/>
      <c r="B3" s="11" t="s">
        <v>21</v>
      </c>
      <c r="C3" s="12" t="s">
        <v>27</v>
      </c>
      <c r="D3" s="17"/>
      <c r="E3" s="5"/>
    </row>
    <row r="4" spans="1:5" x14ac:dyDescent="0.25">
      <c r="A4" s="5"/>
      <c r="B4" s="11" t="s">
        <v>22</v>
      </c>
      <c r="C4" s="12" t="s">
        <v>27</v>
      </c>
      <c r="D4" s="17"/>
      <c r="E4" s="5"/>
    </row>
    <row r="5" spans="1:5" x14ac:dyDescent="0.25">
      <c r="A5" s="5"/>
      <c r="B5" s="11" t="s">
        <v>23</v>
      </c>
      <c r="C5" s="12" t="s">
        <v>27</v>
      </c>
      <c r="D5" s="17"/>
      <c r="E5" s="5"/>
    </row>
    <row r="6" spans="1:5" x14ac:dyDescent="0.25">
      <c r="A6" s="5"/>
      <c r="B6" s="11" t="s">
        <v>24</v>
      </c>
      <c r="C6" s="12" t="s">
        <v>27</v>
      </c>
      <c r="D6" s="17"/>
      <c r="E6" s="5"/>
    </row>
    <row r="7" spans="1:5" x14ac:dyDescent="0.25">
      <c r="A7" s="5"/>
      <c r="B7" s="11" t="s">
        <v>25</v>
      </c>
      <c r="C7" s="12" t="s">
        <v>27</v>
      </c>
      <c r="D7" s="18"/>
      <c r="E7" s="5"/>
    </row>
    <row r="8" spans="1:5" x14ac:dyDescent="0.25">
      <c r="A8" s="5"/>
      <c r="B8" s="13" t="s">
        <v>26</v>
      </c>
      <c r="C8" s="14" t="s">
        <v>27</v>
      </c>
      <c r="D8" s="19"/>
      <c r="E8" s="5"/>
    </row>
    <row r="9" spans="1:5" ht="28.5" customHeight="1" x14ac:dyDescent="0.25">
      <c r="A9" s="5"/>
      <c r="B9" s="5"/>
      <c r="C9" s="5"/>
      <c r="D9" s="5"/>
      <c r="E9" s="5"/>
    </row>
    <row r="10" spans="1:5" ht="28.5" customHeight="1" x14ac:dyDescent="0.25">
      <c r="A10" s="5"/>
      <c r="B10" s="5"/>
      <c r="C10" s="5"/>
      <c r="D10" s="5"/>
      <c r="E10" s="5"/>
    </row>
  </sheetData>
  <mergeCells count="1">
    <mergeCell ref="B2:D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A707-918D-41DC-A957-8484BA07F884}">
  <sheetPr codeName="Sheet4"/>
  <dimension ref="A1:F3"/>
  <sheetViews>
    <sheetView zoomScale="170" workbookViewId="0">
      <selection activeCell="A3" sqref="A3"/>
    </sheetView>
  </sheetViews>
  <sheetFormatPr defaultRowHeight="15" x14ac:dyDescent="0.25"/>
  <cols>
    <col min="2" max="2" width="18.5703125" customWidth="1"/>
    <col min="5" max="5" width="17" style="15" customWidth="1"/>
    <col min="6" max="6" width="18.28515625" style="16" customWidth="1"/>
  </cols>
  <sheetData>
    <row r="1" spans="1:6" x14ac:dyDescent="0.25">
      <c r="A1" t="s">
        <v>21</v>
      </c>
      <c r="B1" t="s">
        <v>22</v>
      </c>
      <c r="C1" t="s">
        <v>23</v>
      </c>
      <c r="D1" t="s">
        <v>24</v>
      </c>
      <c r="E1" s="15" t="s">
        <v>25</v>
      </c>
      <c r="F1" s="16" t="s">
        <v>26</v>
      </c>
    </row>
    <row r="2" spans="1:6" x14ac:dyDescent="0.25">
      <c r="A2">
        <v>1</v>
      </c>
      <c r="B2" t="s">
        <v>29</v>
      </c>
      <c r="C2" t="s">
        <v>30</v>
      </c>
      <c r="D2" t="s">
        <v>31</v>
      </c>
      <c r="E2" s="15">
        <v>44885</v>
      </c>
      <c r="F2" s="16">
        <v>98765</v>
      </c>
    </row>
    <row r="3" spans="1:6" x14ac:dyDescent="0.25">
      <c r="A3">
        <v>2</v>
      </c>
      <c r="B3" t="s">
        <v>32</v>
      </c>
      <c r="C3" t="s">
        <v>33</v>
      </c>
      <c r="D3" t="s">
        <v>31</v>
      </c>
      <c r="E3" s="15">
        <v>44885</v>
      </c>
      <c r="F3" s="16">
        <v>987654</v>
      </c>
    </row>
  </sheetData>
  <sortState xmlns:xlrd2="http://schemas.microsoft.com/office/spreadsheetml/2017/richdata2" ref="A2:F3">
    <sortCondition ref="A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19169-94DF-44C8-BA2A-179AA6D831A5}">
  <sheetPr codeName="Sheet5"/>
  <dimension ref="A1:I95"/>
  <sheetViews>
    <sheetView zoomScale="129" zoomScaleNormal="90" workbookViewId="0"/>
  </sheetViews>
  <sheetFormatPr defaultRowHeight="15" x14ac:dyDescent="0.25"/>
  <cols>
    <col min="1" max="1" width="5.42578125" bestFit="1" customWidth="1"/>
    <col min="2" max="2" width="12.28515625" bestFit="1" customWidth="1"/>
    <col min="3" max="3" width="10.7109375" bestFit="1" customWidth="1"/>
    <col min="4" max="4" width="7.85546875" bestFit="1" customWidth="1"/>
    <col min="5" max="5" width="7.140625" bestFit="1" customWidth="1"/>
    <col min="6" max="6" width="12.28515625" style="15" bestFit="1" customWidth="1"/>
    <col min="7" max="7" width="12.85546875" bestFit="1" customWidth="1"/>
    <col min="8" max="8" width="5.28515625" bestFit="1" customWidth="1"/>
    <col min="9" max="9" width="11.5703125" style="1" bestFit="1" customWidth="1"/>
  </cols>
  <sheetData>
    <row r="1" spans="1:9" x14ac:dyDescent="0.25">
      <c r="A1" s="7" t="s">
        <v>34</v>
      </c>
      <c r="B1" s="7" t="s">
        <v>35</v>
      </c>
      <c r="C1" s="7" t="s">
        <v>36</v>
      </c>
      <c r="D1" s="7" t="s">
        <v>23</v>
      </c>
      <c r="E1" s="7" t="s">
        <v>24</v>
      </c>
      <c r="F1" s="21" t="s">
        <v>37</v>
      </c>
      <c r="G1" s="7" t="s">
        <v>38</v>
      </c>
      <c r="H1" s="7" t="s">
        <v>39</v>
      </c>
      <c r="I1" s="20" t="s">
        <v>40</v>
      </c>
    </row>
    <row r="2" spans="1:9" x14ac:dyDescent="0.25">
      <c r="A2">
        <v>1</v>
      </c>
      <c r="B2" t="s">
        <v>134</v>
      </c>
      <c r="C2" t="s">
        <v>135</v>
      </c>
      <c r="D2" t="s">
        <v>30</v>
      </c>
      <c r="E2" t="s">
        <v>51</v>
      </c>
      <c r="F2" s="15">
        <v>34690</v>
      </c>
      <c r="G2">
        <v>45</v>
      </c>
      <c r="H2">
        <v>35.5</v>
      </c>
      <c r="I2" s="1">
        <v>1597.5</v>
      </c>
    </row>
    <row r="3" spans="1:9" x14ac:dyDescent="0.25">
      <c r="A3">
        <v>2</v>
      </c>
      <c r="B3" t="s">
        <v>99</v>
      </c>
      <c r="C3" t="s">
        <v>100</v>
      </c>
      <c r="D3" t="s">
        <v>33</v>
      </c>
      <c r="E3" t="s">
        <v>44</v>
      </c>
      <c r="F3" s="15">
        <v>34153</v>
      </c>
      <c r="G3">
        <v>28.3</v>
      </c>
      <c r="H3">
        <v>35.5</v>
      </c>
      <c r="I3" s="1">
        <v>1004.65</v>
      </c>
    </row>
    <row r="4" spans="1:9" x14ac:dyDescent="0.25">
      <c r="A4">
        <v>3</v>
      </c>
      <c r="B4" t="s">
        <v>155</v>
      </c>
      <c r="C4" t="s">
        <v>53</v>
      </c>
      <c r="D4" t="s">
        <v>85</v>
      </c>
      <c r="E4" t="s">
        <v>31</v>
      </c>
      <c r="F4" s="15">
        <v>36000</v>
      </c>
      <c r="G4">
        <v>31.75</v>
      </c>
      <c r="H4">
        <v>42</v>
      </c>
      <c r="I4" s="1">
        <v>1333.5</v>
      </c>
    </row>
    <row r="5" spans="1:9" x14ac:dyDescent="0.25">
      <c r="A5">
        <v>4</v>
      </c>
      <c r="B5" t="s">
        <v>178</v>
      </c>
      <c r="C5" t="s">
        <v>98</v>
      </c>
      <c r="D5" t="s">
        <v>80</v>
      </c>
      <c r="E5" t="s">
        <v>54</v>
      </c>
      <c r="F5" s="15">
        <v>35221</v>
      </c>
      <c r="G5">
        <v>23.75</v>
      </c>
      <c r="H5">
        <v>40</v>
      </c>
      <c r="I5" s="1">
        <v>950</v>
      </c>
    </row>
    <row r="6" spans="1:9" x14ac:dyDescent="0.25">
      <c r="A6">
        <v>5</v>
      </c>
      <c r="B6" t="s">
        <v>59</v>
      </c>
      <c r="C6" t="s">
        <v>60</v>
      </c>
      <c r="D6" t="s">
        <v>43</v>
      </c>
      <c r="E6" t="s">
        <v>51</v>
      </c>
      <c r="F6" s="15">
        <v>33399</v>
      </c>
      <c r="G6">
        <v>27.6</v>
      </c>
      <c r="H6">
        <v>40</v>
      </c>
      <c r="I6" s="1">
        <v>1104</v>
      </c>
    </row>
    <row r="7" spans="1:9" x14ac:dyDescent="0.25">
      <c r="A7">
        <v>6</v>
      </c>
      <c r="B7" t="s">
        <v>90</v>
      </c>
      <c r="C7" t="s">
        <v>91</v>
      </c>
      <c r="D7" t="s">
        <v>89</v>
      </c>
      <c r="E7" t="s">
        <v>44</v>
      </c>
      <c r="F7" s="15">
        <v>34853</v>
      </c>
      <c r="G7">
        <v>39</v>
      </c>
      <c r="H7">
        <v>35</v>
      </c>
      <c r="I7" s="1">
        <v>1365</v>
      </c>
    </row>
    <row r="8" spans="1:9" x14ac:dyDescent="0.25">
      <c r="A8">
        <v>7</v>
      </c>
      <c r="B8" t="s">
        <v>71</v>
      </c>
      <c r="C8" t="s">
        <v>185</v>
      </c>
      <c r="D8" t="s">
        <v>75</v>
      </c>
      <c r="E8" t="s">
        <v>31</v>
      </c>
      <c r="F8" s="15">
        <v>35485</v>
      </c>
      <c r="G8">
        <v>27.1</v>
      </c>
      <c r="H8">
        <v>35</v>
      </c>
      <c r="I8" s="1">
        <v>948.5</v>
      </c>
    </row>
    <row r="9" spans="1:9" x14ac:dyDescent="0.25">
      <c r="A9">
        <v>8</v>
      </c>
      <c r="B9" t="s">
        <v>126</v>
      </c>
      <c r="C9" t="s">
        <v>127</v>
      </c>
      <c r="D9" t="s">
        <v>30</v>
      </c>
      <c r="E9" t="s">
        <v>54</v>
      </c>
      <c r="F9" s="15">
        <v>33341</v>
      </c>
      <c r="G9">
        <v>48</v>
      </c>
      <c r="H9">
        <v>40</v>
      </c>
      <c r="I9" s="1">
        <v>1920</v>
      </c>
    </row>
    <row r="10" spans="1:9" x14ac:dyDescent="0.25">
      <c r="A10">
        <v>9</v>
      </c>
      <c r="B10" t="s">
        <v>170</v>
      </c>
      <c r="C10" t="s">
        <v>171</v>
      </c>
      <c r="D10" t="s">
        <v>33</v>
      </c>
      <c r="E10" t="s">
        <v>51</v>
      </c>
      <c r="F10" s="15">
        <v>35825</v>
      </c>
      <c r="G10">
        <v>28.3</v>
      </c>
      <c r="H10">
        <v>35.5</v>
      </c>
      <c r="I10" s="1">
        <v>1004.65</v>
      </c>
    </row>
    <row r="11" spans="1:9" x14ac:dyDescent="0.25">
      <c r="A11">
        <v>10</v>
      </c>
      <c r="B11" t="s">
        <v>83</v>
      </c>
      <c r="C11" t="s">
        <v>84</v>
      </c>
      <c r="D11" t="s">
        <v>85</v>
      </c>
      <c r="E11" t="s">
        <v>44</v>
      </c>
      <c r="F11" s="15">
        <v>36157</v>
      </c>
      <c r="G11">
        <v>36.5</v>
      </c>
      <c r="H11">
        <v>40</v>
      </c>
      <c r="I11" s="1">
        <v>1460</v>
      </c>
    </row>
    <row r="12" spans="1:9" x14ac:dyDescent="0.25">
      <c r="A12">
        <v>11</v>
      </c>
      <c r="B12" t="s">
        <v>172</v>
      </c>
      <c r="C12" t="s">
        <v>173</v>
      </c>
      <c r="D12" t="s">
        <v>80</v>
      </c>
      <c r="E12" t="s">
        <v>31</v>
      </c>
      <c r="F12" s="15">
        <v>33822</v>
      </c>
      <c r="G12">
        <v>28.3</v>
      </c>
      <c r="H12">
        <v>35.5</v>
      </c>
      <c r="I12" s="1">
        <v>1004.65</v>
      </c>
    </row>
    <row r="13" spans="1:9" x14ac:dyDescent="0.25">
      <c r="A13">
        <v>12</v>
      </c>
      <c r="B13" t="s">
        <v>65</v>
      </c>
      <c r="C13" t="s">
        <v>66</v>
      </c>
      <c r="D13" t="s">
        <v>43</v>
      </c>
      <c r="E13" t="s">
        <v>54</v>
      </c>
      <c r="F13" s="15">
        <v>35888</v>
      </c>
      <c r="G13">
        <v>20.5</v>
      </c>
      <c r="H13">
        <v>32</v>
      </c>
      <c r="I13" s="1">
        <v>656</v>
      </c>
    </row>
    <row r="14" spans="1:9" x14ac:dyDescent="0.25">
      <c r="A14">
        <v>13</v>
      </c>
      <c r="B14" t="s">
        <v>132</v>
      </c>
      <c r="C14" t="s">
        <v>133</v>
      </c>
      <c r="D14" t="s">
        <v>89</v>
      </c>
      <c r="E14" t="s">
        <v>51</v>
      </c>
      <c r="F14" s="15">
        <v>33992</v>
      </c>
      <c r="G14">
        <v>50</v>
      </c>
      <c r="H14">
        <v>35.5</v>
      </c>
      <c r="I14" s="1">
        <v>1775</v>
      </c>
    </row>
    <row r="15" spans="1:9" x14ac:dyDescent="0.25">
      <c r="A15">
        <v>14</v>
      </c>
      <c r="B15" t="s">
        <v>101</v>
      </c>
      <c r="C15" t="s">
        <v>105</v>
      </c>
      <c r="D15" t="s">
        <v>75</v>
      </c>
      <c r="E15" t="s">
        <v>44</v>
      </c>
      <c r="F15" s="15">
        <v>35195</v>
      </c>
      <c r="G15">
        <v>22.22</v>
      </c>
      <c r="H15">
        <v>40</v>
      </c>
      <c r="I15" s="1">
        <v>888.8</v>
      </c>
    </row>
    <row r="16" spans="1:9" x14ac:dyDescent="0.25">
      <c r="A16">
        <v>15</v>
      </c>
      <c r="B16" t="s">
        <v>130</v>
      </c>
      <c r="C16" t="s">
        <v>169</v>
      </c>
      <c r="D16" t="s">
        <v>30</v>
      </c>
      <c r="E16" t="s">
        <v>31</v>
      </c>
      <c r="F16" s="15">
        <v>34858</v>
      </c>
      <c r="G16">
        <v>27.6</v>
      </c>
      <c r="H16">
        <v>40</v>
      </c>
      <c r="I16" s="1">
        <v>1104</v>
      </c>
    </row>
    <row r="17" spans="1:9" x14ac:dyDescent="0.25">
      <c r="A17">
        <v>16</v>
      </c>
      <c r="B17" t="s">
        <v>122</v>
      </c>
      <c r="C17" t="s">
        <v>123</v>
      </c>
      <c r="D17" t="s">
        <v>33</v>
      </c>
      <c r="E17" t="s">
        <v>54</v>
      </c>
      <c r="F17" s="15">
        <v>34616</v>
      </c>
      <c r="G17">
        <v>55</v>
      </c>
      <c r="H17">
        <v>35.5</v>
      </c>
      <c r="I17" s="1">
        <v>1952.5</v>
      </c>
    </row>
    <row r="18" spans="1:9" x14ac:dyDescent="0.25">
      <c r="A18">
        <v>17</v>
      </c>
      <c r="B18" t="s">
        <v>136</v>
      </c>
      <c r="C18" t="s">
        <v>137</v>
      </c>
      <c r="D18" t="s">
        <v>85</v>
      </c>
      <c r="E18" t="s">
        <v>51</v>
      </c>
      <c r="F18" s="15">
        <v>34094</v>
      </c>
      <c r="G18">
        <v>37</v>
      </c>
      <c r="H18">
        <v>40</v>
      </c>
      <c r="I18" s="1">
        <v>1480</v>
      </c>
    </row>
    <row r="19" spans="1:9" x14ac:dyDescent="0.25">
      <c r="A19">
        <v>18</v>
      </c>
      <c r="B19" t="s">
        <v>78</v>
      </c>
      <c r="C19" t="s">
        <v>79</v>
      </c>
      <c r="D19" t="s">
        <v>80</v>
      </c>
      <c r="E19" t="s">
        <v>44</v>
      </c>
      <c r="F19" s="15">
        <v>35050</v>
      </c>
      <c r="G19">
        <v>37</v>
      </c>
      <c r="H19">
        <v>40</v>
      </c>
      <c r="I19" s="1">
        <v>1480</v>
      </c>
    </row>
    <row r="20" spans="1:9" x14ac:dyDescent="0.25">
      <c r="A20">
        <v>19</v>
      </c>
      <c r="B20" t="s">
        <v>55</v>
      </c>
      <c r="C20" t="s">
        <v>56</v>
      </c>
      <c r="D20" t="s">
        <v>43</v>
      </c>
      <c r="E20" t="s">
        <v>31</v>
      </c>
      <c r="F20" s="15">
        <v>34871</v>
      </c>
      <c r="G20">
        <v>30</v>
      </c>
      <c r="H20">
        <v>40</v>
      </c>
      <c r="I20" s="1">
        <v>1200</v>
      </c>
    </row>
    <row r="21" spans="1:9" x14ac:dyDescent="0.25">
      <c r="A21">
        <v>20</v>
      </c>
      <c r="B21" t="s">
        <v>167</v>
      </c>
      <c r="C21" t="s">
        <v>175</v>
      </c>
      <c r="D21" t="s">
        <v>89</v>
      </c>
      <c r="E21" t="s">
        <v>54</v>
      </c>
      <c r="F21" s="15">
        <v>34534</v>
      </c>
      <c r="G21">
        <v>27.5</v>
      </c>
      <c r="H21">
        <v>35.5</v>
      </c>
      <c r="I21" s="1">
        <v>976.25</v>
      </c>
    </row>
    <row r="22" spans="1:9" x14ac:dyDescent="0.25">
      <c r="A22">
        <v>21</v>
      </c>
      <c r="B22" t="s">
        <v>208</v>
      </c>
      <c r="C22" t="s">
        <v>77</v>
      </c>
      <c r="D22" t="s">
        <v>75</v>
      </c>
      <c r="E22" t="s">
        <v>51</v>
      </c>
      <c r="F22" s="15">
        <v>33649</v>
      </c>
      <c r="G22">
        <v>23.52</v>
      </c>
      <c r="H22">
        <v>25</v>
      </c>
      <c r="I22" s="1">
        <v>588</v>
      </c>
    </row>
    <row r="23" spans="1:9" x14ac:dyDescent="0.25">
      <c r="A23">
        <v>22</v>
      </c>
      <c r="B23" t="s">
        <v>103</v>
      </c>
      <c r="C23" t="s">
        <v>104</v>
      </c>
      <c r="D23" t="s">
        <v>30</v>
      </c>
      <c r="E23" t="s">
        <v>44</v>
      </c>
      <c r="F23" s="15">
        <v>33634</v>
      </c>
      <c r="G23">
        <v>23.75</v>
      </c>
      <c r="H23">
        <v>40</v>
      </c>
      <c r="I23" s="1">
        <v>950</v>
      </c>
    </row>
    <row r="24" spans="1:9" x14ac:dyDescent="0.25">
      <c r="A24">
        <v>23</v>
      </c>
      <c r="B24" t="s">
        <v>114</v>
      </c>
      <c r="C24" t="s">
        <v>115</v>
      </c>
      <c r="D24" t="s">
        <v>33</v>
      </c>
      <c r="E24" t="s">
        <v>31</v>
      </c>
      <c r="F24" s="15">
        <v>32573</v>
      </c>
      <c r="G24">
        <v>60</v>
      </c>
      <c r="H24">
        <v>40</v>
      </c>
      <c r="I24" s="1">
        <v>2400</v>
      </c>
    </row>
    <row r="25" spans="1:9" x14ac:dyDescent="0.25">
      <c r="A25">
        <v>24</v>
      </c>
      <c r="B25" t="s">
        <v>120</v>
      </c>
      <c r="C25" t="s">
        <v>121</v>
      </c>
      <c r="D25" t="s">
        <v>85</v>
      </c>
      <c r="E25" t="s">
        <v>54</v>
      </c>
      <c r="F25" s="15">
        <v>33700</v>
      </c>
      <c r="G25">
        <v>52</v>
      </c>
      <c r="H25">
        <v>40</v>
      </c>
      <c r="I25" s="1">
        <v>2080</v>
      </c>
    </row>
    <row r="26" spans="1:9" x14ac:dyDescent="0.25">
      <c r="A26">
        <v>25</v>
      </c>
      <c r="B26" t="s">
        <v>159</v>
      </c>
      <c r="C26" t="s">
        <v>76</v>
      </c>
      <c r="D26" t="s">
        <v>80</v>
      </c>
      <c r="E26" t="s">
        <v>51</v>
      </c>
      <c r="F26" s="15">
        <v>35747</v>
      </c>
      <c r="G26">
        <v>30.5</v>
      </c>
      <c r="H26">
        <v>40</v>
      </c>
      <c r="I26" s="1">
        <v>1220</v>
      </c>
    </row>
    <row r="27" spans="1:9" x14ac:dyDescent="0.25">
      <c r="A27">
        <v>26</v>
      </c>
      <c r="B27" t="s">
        <v>47</v>
      </c>
      <c r="C27" t="s">
        <v>48</v>
      </c>
      <c r="D27" t="s">
        <v>43</v>
      </c>
      <c r="E27" t="s">
        <v>44</v>
      </c>
      <c r="F27" s="15">
        <v>36374</v>
      </c>
      <c r="G27">
        <v>20.5</v>
      </c>
      <c r="H27">
        <v>32</v>
      </c>
      <c r="I27" s="1">
        <v>656</v>
      </c>
    </row>
    <row r="28" spans="1:9" x14ac:dyDescent="0.25">
      <c r="A28">
        <v>27</v>
      </c>
      <c r="B28" t="s">
        <v>148</v>
      </c>
      <c r="C28" t="s">
        <v>149</v>
      </c>
      <c r="D28" t="s">
        <v>89</v>
      </c>
      <c r="E28" t="s">
        <v>31</v>
      </c>
      <c r="F28" s="15">
        <v>34279</v>
      </c>
      <c r="G28">
        <v>34.5</v>
      </c>
      <c r="H28">
        <v>40</v>
      </c>
      <c r="I28" s="1">
        <v>1380</v>
      </c>
    </row>
    <row r="29" spans="1:9" x14ac:dyDescent="0.25">
      <c r="A29">
        <v>28</v>
      </c>
      <c r="B29" t="s">
        <v>130</v>
      </c>
      <c r="C29" t="s">
        <v>131</v>
      </c>
      <c r="D29" t="s">
        <v>75</v>
      </c>
      <c r="E29" t="s">
        <v>54</v>
      </c>
      <c r="F29" s="15">
        <v>33497</v>
      </c>
      <c r="G29">
        <v>45</v>
      </c>
      <c r="H29">
        <v>40</v>
      </c>
      <c r="I29" s="1">
        <v>1800</v>
      </c>
    </row>
    <row r="30" spans="1:9" x14ac:dyDescent="0.25">
      <c r="A30">
        <v>29</v>
      </c>
      <c r="B30" t="s">
        <v>203</v>
      </c>
      <c r="C30" t="s">
        <v>204</v>
      </c>
      <c r="D30" t="s">
        <v>30</v>
      </c>
      <c r="E30" t="s">
        <v>51</v>
      </c>
      <c r="F30" s="15">
        <v>33831</v>
      </c>
      <c r="G30">
        <v>20.5</v>
      </c>
      <c r="H30">
        <v>32</v>
      </c>
      <c r="I30" s="1">
        <v>656</v>
      </c>
    </row>
    <row r="31" spans="1:9" x14ac:dyDescent="0.25">
      <c r="A31">
        <v>30</v>
      </c>
      <c r="B31" t="s">
        <v>86</v>
      </c>
      <c r="C31" t="s">
        <v>87</v>
      </c>
      <c r="D31" t="s">
        <v>33</v>
      </c>
      <c r="E31" t="s">
        <v>44</v>
      </c>
      <c r="F31" s="15">
        <v>33837</v>
      </c>
      <c r="G31">
        <v>36.5</v>
      </c>
      <c r="H31">
        <v>40</v>
      </c>
      <c r="I31" s="1">
        <v>1460</v>
      </c>
    </row>
    <row r="32" spans="1:9" x14ac:dyDescent="0.25">
      <c r="A32">
        <v>31</v>
      </c>
      <c r="B32" t="s">
        <v>209</v>
      </c>
      <c r="C32" t="s">
        <v>210</v>
      </c>
      <c r="D32" t="s">
        <v>85</v>
      </c>
      <c r="E32" t="s">
        <v>31</v>
      </c>
      <c r="F32" s="15">
        <v>35775</v>
      </c>
      <c r="G32">
        <v>23.52</v>
      </c>
      <c r="H32">
        <v>25</v>
      </c>
      <c r="I32" s="1">
        <v>588</v>
      </c>
    </row>
    <row r="33" spans="1:9" x14ac:dyDescent="0.25">
      <c r="A33">
        <v>32</v>
      </c>
      <c r="B33" t="s">
        <v>122</v>
      </c>
      <c r="C33" t="s">
        <v>53</v>
      </c>
      <c r="D33" t="s">
        <v>80</v>
      </c>
      <c r="E33" t="s">
        <v>54</v>
      </c>
      <c r="F33" s="15">
        <v>36194</v>
      </c>
      <c r="G33">
        <v>27.1</v>
      </c>
      <c r="H33">
        <v>35</v>
      </c>
      <c r="I33" s="1">
        <v>948.5</v>
      </c>
    </row>
    <row r="34" spans="1:9" x14ac:dyDescent="0.25">
      <c r="A34">
        <v>33</v>
      </c>
      <c r="B34" t="s">
        <v>49</v>
      </c>
      <c r="C34" t="s">
        <v>50</v>
      </c>
      <c r="D34" t="s">
        <v>43</v>
      </c>
      <c r="E34" t="s">
        <v>51</v>
      </c>
      <c r="F34" s="15">
        <v>36017</v>
      </c>
      <c r="G34">
        <v>50</v>
      </c>
      <c r="H34">
        <v>35</v>
      </c>
      <c r="I34" s="1">
        <v>1750</v>
      </c>
    </row>
    <row r="35" spans="1:9" x14ac:dyDescent="0.25">
      <c r="A35">
        <v>34</v>
      </c>
      <c r="B35" t="s">
        <v>88</v>
      </c>
      <c r="C35" t="s">
        <v>77</v>
      </c>
      <c r="D35" t="s">
        <v>89</v>
      </c>
      <c r="E35" t="s">
        <v>44</v>
      </c>
      <c r="F35" s="15">
        <v>35372</v>
      </c>
      <c r="G35">
        <v>34.5</v>
      </c>
      <c r="H35">
        <v>40</v>
      </c>
      <c r="I35" s="1">
        <v>1380</v>
      </c>
    </row>
    <row r="36" spans="1:9" x14ac:dyDescent="0.25">
      <c r="A36">
        <v>35</v>
      </c>
      <c r="B36" t="s">
        <v>124</v>
      </c>
      <c r="C36" t="s">
        <v>125</v>
      </c>
      <c r="D36" t="s">
        <v>75</v>
      </c>
      <c r="E36" t="s">
        <v>31</v>
      </c>
      <c r="F36" s="15">
        <v>35026</v>
      </c>
      <c r="G36">
        <v>55</v>
      </c>
      <c r="H36">
        <v>35.5</v>
      </c>
      <c r="I36" s="1">
        <v>1952.5</v>
      </c>
    </row>
    <row r="37" spans="1:9" x14ac:dyDescent="0.25">
      <c r="A37">
        <v>36</v>
      </c>
      <c r="B37" t="s">
        <v>176</v>
      </c>
      <c r="C37" t="s">
        <v>177</v>
      </c>
      <c r="D37" t="s">
        <v>30</v>
      </c>
      <c r="E37" t="s">
        <v>54</v>
      </c>
      <c r="F37" s="15">
        <v>34483</v>
      </c>
      <c r="G37">
        <v>23.75</v>
      </c>
      <c r="H37">
        <v>40</v>
      </c>
      <c r="I37" s="1">
        <v>950</v>
      </c>
    </row>
    <row r="38" spans="1:9" x14ac:dyDescent="0.25">
      <c r="A38">
        <v>37</v>
      </c>
      <c r="B38" t="s">
        <v>124</v>
      </c>
      <c r="C38" t="s">
        <v>205</v>
      </c>
      <c r="D38" t="s">
        <v>33</v>
      </c>
      <c r="E38" t="s">
        <v>51</v>
      </c>
      <c r="F38" s="15">
        <v>34949</v>
      </c>
      <c r="G38">
        <v>21.5</v>
      </c>
      <c r="H38">
        <v>29.5</v>
      </c>
      <c r="I38" s="1">
        <v>634.25</v>
      </c>
    </row>
    <row r="39" spans="1:9" x14ac:dyDescent="0.25">
      <c r="A39">
        <v>38</v>
      </c>
      <c r="B39" t="s">
        <v>93</v>
      </c>
      <c r="C39" t="s">
        <v>94</v>
      </c>
      <c r="D39" t="s">
        <v>85</v>
      </c>
      <c r="E39" t="s">
        <v>44</v>
      </c>
      <c r="F39" s="15">
        <v>33404</v>
      </c>
      <c r="G39">
        <v>30.5</v>
      </c>
      <c r="H39">
        <v>38</v>
      </c>
      <c r="I39" s="1">
        <v>1159</v>
      </c>
    </row>
    <row r="40" spans="1:9" x14ac:dyDescent="0.25">
      <c r="A40">
        <v>39</v>
      </c>
      <c r="B40" t="s">
        <v>140</v>
      </c>
      <c r="C40" t="s">
        <v>141</v>
      </c>
      <c r="D40" t="s">
        <v>80</v>
      </c>
      <c r="E40" t="s">
        <v>31</v>
      </c>
      <c r="F40" s="15">
        <v>35655</v>
      </c>
      <c r="G40">
        <v>37</v>
      </c>
      <c r="H40">
        <v>40</v>
      </c>
      <c r="I40" s="1">
        <v>1480</v>
      </c>
    </row>
    <row r="41" spans="1:9" x14ac:dyDescent="0.25">
      <c r="A41">
        <v>40</v>
      </c>
      <c r="B41" t="s">
        <v>57</v>
      </c>
      <c r="C41" t="s">
        <v>58</v>
      </c>
      <c r="D41" t="s">
        <v>43</v>
      </c>
      <c r="E41" t="s">
        <v>54</v>
      </c>
      <c r="F41" s="15">
        <v>35005</v>
      </c>
      <c r="G41">
        <v>30.5</v>
      </c>
      <c r="H41">
        <v>38</v>
      </c>
      <c r="I41" s="1">
        <v>1159</v>
      </c>
    </row>
    <row r="42" spans="1:9" x14ac:dyDescent="0.25">
      <c r="A42">
        <v>41</v>
      </c>
      <c r="B42" t="s">
        <v>186</v>
      </c>
      <c r="C42" t="s">
        <v>187</v>
      </c>
      <c r="D42" t="s">
        <v>89</v>
      </c>
      <c r="E42" t="s">
        <v>51</v>
      </c>
      <c r="F42" s="15">
        <v>34471</v>
      </c>
      <c r="G42">
        <v>23.22</v>
      </c>
      <c r="H42">
        <v>40</v>
      </c>
      <c r="I42" s="1">
        <v>928.8</v>
      </c>
    </row>
    <row r="43" spans="1:9" x14ac:dyDescent="0.25">
      <c r="A43">
        <v>42</v>
      </c>
      <c r="B43" t="s">
        <v>73</v>
      </c>
      <c r="C43" t="s">
        <v>74</v>
      </c>
      <c r="D43" t="s">
        <v>75</v>
      </c>
      <c r="E43" t="s">
        <v>44</v>
      </c>
      <c r="F43" s="15">
        <v>32883</v>
      </c>
      <c r="G43">
        <v>45</v>
      </c>
      <c r="H43">
        <v>40</v>
      </c>
      <c r="I43" s="1">
        <v>1800</v>
      </c>
    </row>
    <row r="44" spans="1:9" x14ac:dyDescent="0.25">
      <c r="A44">
        <v>43</v>
      </c>
      <c r="B44" t="s">
        <v>108</v>
      </c>
      <c r="C44" t="s">
        <v>150</v>
      </c>
      <c r="D44" t="s">
        <v>30</v>
      </c>
      <c r="E44" t="s">
        <v>31</v>
      </c>
      <c r="F44" s="15">
        <v>34414</v>
      </c>
      <c r="G44">
        <v>39</v>
      </c>
      <c r="H44">
        <v>35</v>
      </c>
      <c r="I44" s="1">
        <v>1365</v>
      </c>
    </row>
    <row r="45" spans="1:9" x14ac:dyDescent="0.25">
      <c r="A45">
        <v>44</v>
      </c>
      <c r="B45" t="s">
        <v>215</v>
      </c>
      <c r="C45" t="s">
        <v>216</v>
      </c>
      <c r="D45" t="s">
        <v>33</v>
      </c>
      <c r="E45" t="s">
        <v>54</v>
      </c>
      <c r="F45" s="15">
        <v>34671</v>
      </c>
      <c r="G45">
        <v>21.5</v>
      </c>
      <c r="H45">
        <v>15.5</v>
      </c>
      <c r="I45" s="1">
        <v>333.25</v>
      </c>
    </row>
    <row r="46" spans="1:9" x14ac:dyDescent="0.25">
      <c r="A46">
        <v>45</v>
      </c>
      <c r="B46" t="s">
        <v>138</v>
      </c>
      <c r="C46" t="s">
        <v>139</v>
      </c>
      <c r="D46" t="s">
        <v>85</v>
      </c>
      <c r="E46" t="s">
        <v>51</v>
      </c>
      <c r="F46" s="15">
        <v>33883</v>
      </c>
      <c r="G46">
        <v>37</v>
      </c>
      <c r="H46">
        <v>40</v>
      </c>
      <c r="I46" s="1">
        <v>1480</v>
      </c>
    </row>
    <row r="47" spans="1:9" x14ac:dyDescent="0.25">
      <c r="A47">
        <v>46</v>
      </c>
      <c r="B47" t="s">
        <v>106</v>
      </c>
      <c r="C47" t="s">
        <v>107</v>
      </c>
      <c r="D47" t="s">
        <v>80</v>
      </c>
      <c r="E47" t="s">
        <v>44</v>
      </c>
      <c r="F47" s="15">
        <v>35427</v>
      </c>
      <c r="G47">
        <v>20.5</v>
      </c>
      <c r="H47">
        <v>32</v>
      </c>
      <c r="I47" s="1">
        <v>656</v>
      </c>
    </row>
    <row r="48" spans="1:9" x14ac:dyDescent="0.25">
      <c r="A48">
        <v>47</v>
      </c>
      <c r="B48" t="s">
        <v>69</v>
      </c>
      <c r="C48" t="s">
        <v>70</v>
      </c>
      <c r="D48" t="s">
        <v>43</v>
      </c>
      <c r="E48" t="s">
        <v>31</v>
      </c>
      <c r="F48" s="15">
        <v>34428</v>
      </c>
      <c r="G48">
        <v>23.52</v>
      </c>
      <c r="H48">
        <v>25</v>
      </c>
      <c r="I48" s="1">
        <v>588</v>
      </c>
    </row>
    <row r="49" spans="1:9" x14ac:dyDescent="0.25">
      <c r="A49">
        <v>48</v>
      </c>
      <c r="B49" t="s">
        <v>118</v>
      </c>
      <c r="C49" t="s">
        <v>119</v>
      </c>
      <c r="D49" t="s">
        <v>89</v>
      </c>
      <c r="E49" t="s">
        <v>54</v>
      </c>
      <c r="F49" s="15">
        <v>34843</v>
      </c>
      <c r="G49">
        <v>55</v>
      </c>
      <c r="H49">
        <v>38</v>
      </c>
      <c r="I49" s="1">
        <v>2090</v>
      </c>
    </row>
    <row r="50" spans="1:9" x14ac:dyDescent="0.25">
      <c r="A50">
        <v>49</v>
      </c>
      <c r="B50" t="s">
        <v>136</v>
      </c>
      <c r="C50" t="s">
        <v>174</v>
      </c>
      <c r="D50" t="s">
        <v>75</v>
      </c>
      <c r="E50" t="s">
        <v>51</v>
      </c>
      <c r="F50" s="15">
        <v>35034</v>
      </c>
      <c r="G50">
        <v>27.5</v>
      </c>
      <c r="H50">
        <v>35.5</v>
      </c>
      <c r="I50" s="1">
        <v>976.25</v>
      </c>
    </row>
    <row r="51" spans="1:9" x14ac:dyDescent="0.25">
      <c r="A51">
        <v>50</v>
      </c>
      <c r="B51" t="s">
        <v>81</v>
      </c>
      <c r="C51" t="s">
        <v>82</v>
      </c>
      <c r="D51" t="s">
        <v>30</v>
      </c>
      <c r="E51" t="s">
        <v>44</v>
      </c>
      <c r="F51" s="15">
        <v>34610</v>
      </c>
      <c r="G51">
        <v>36.5</v>
      </c>
      <c r="H51">
        <v>40</v>
      </c>
      <c r="I51" s="1">
        <v>1460</v>
      </c>
    </row>
    <row r="52" spans="1:9" x14ac:dyDescent="0.25">
      <c r="A52">
        <v>51</v>
      </c>
      <c r="B52" t="s">
        <v>167</v>
      </c>
      <c r="C52" t="s">
        <v>168</v>
      </c>
      <c r="D52" t="s">
        <v>33</v>
      </c>
      <c r="E52" t="s">
        <v>31</v>
      </c>
      <c r="F52" s="15">
        <v>33704</v>
      </c>
      <c r="G52">
        <v>30.5</v>
      </c>
      <c r="H52">
        <v>38</v>
      </c>
      <c r="I52" s="1">
        <v>1159</v>
      </c>
    </row>
    <row r="53" spans="1:9" x14ac:dyDescent="0.25">
      <c r="A53">
        <v>52</v>
      </c>
      <c r="B53" t="s">
        <v>142</v>
      </c>
      <c r="C53" t="s">
        <v>143</v>
      </c>
      <c r="D53" t="s">
        <v>85</v>
      </c>
      <c r="E53" t="s">
        <v>54</v>
      </c>
      <c r="F53" s="15">
        <v>34998</v>
      </c>
      <c r="G53">
        <v>36.5</v>
      </c>
      <c r="H53">
        <v>40</v>
      </c>
      <c r="I53" s="1">
        <v>1460</v>
      </c>
    </row>
    <row r="54" spans="1:9" x14ac:dyDescent="0.25">
      <c r="A54">
        <v>53</v>
      </c>
      <c r="B54" t="s">
        <v>151</v>
      </c>
      <c r="C54" t="s">
        <v>152</v>
      </c>
      <c r="D54" t="s">
        <v>80</v>
      </c>
      <c r="E54" t="s">
        <v>51</v>
      </c>
      <c r="F54" s="15">
        <v>34347</v>
      </c>
      <c r="G54">
        <v>39</v>
      </c>
      <c r="H54">
        <v>35</v>
      </c>
      <c r="I54" s="1">
        <v>1365</v>
      </c>
    </row>
    <row r="55" spans="1:9" x14ac:dyDescent="0.25">
      <c r="A55">
        <v>54</v>
      </c>
      <c r="B55" t="s">
        <v>41</v>
      </c>
      <c r="C55" t="s">
        <v>42</v>
      </c>
      <c r="D55" t="s">
        <v>43</v>
      </c>
      <c r="E55" t="s">
        <v>44</v>
      </c>
      <c r="F55" s="15">
        <v>34615</v>
      </c>
      <c r="G55">
        <v>36.5</v>
      </c>
      <c r="H55">
        <v>40</v>
      </c>
      <c r="I55" s="1">
        <v>1460</v>
      </c>
    </row>
    <row r="56" spans="1:9" x14ac:dyDescent="0.25">
      <c r="A56">
        <v>55</v>
      </c>
      <c r="B56" t="s">
        <v>211</v>
      </c>
      <c r="C56" t="s">
        <v>212</v>
      </c>
      <c r="D56" t="s">
        <v>89</v>
      </c>
      <c r="E56" t="s">
        <v>31</v>
      </c>
      <c r="F56" s="15">
        <v>35221</v>
      </c>
      <c r="G56">
        <v>23.52</v>
      </c>
      <c r="H56">
        <v>25</v>
      </c>
      <c r="I56" s="1">
        <v>588</v>
      </c>
    </row>
    <row r="57" spans="1:9" x14ac:dyDescent="0.25">
      <c r="A57">
        <v>56</v>
      </c>
      <c r="B57" t="s">
        <v>144</v>
      </c>
      <c r="C57" t="s">
        <v>145</v>
      </c>
      <c r="D57" t="s">
        <v>75</v>
      </c>
      <c r="E57" t="s">
        <v>54</v>
      </c>
      <c r="F57" s="15">
        <v>36181</v>
      </c>
      <c r="G57">
        <v>36.5</v>
      </c>
      <c r="H57">
        <v>40</v>
      </c>
      <c r="I57" s="1">
        <v>1460</v>
      </c>
    </row>
    <row r="58" spans="1:9" x14ac:dyDescent="0.25">
      <c r="A58">
        <v>57</v>
      </c>
      <c r="B58" t="s">
        <v>73</v>
      </c>
      <c r="C58" t="s">
        <v>166</v>
      </c>
      <c r="D58" t="s">
        <v>30</v>
      </c>
      <c r="E58" t="s">
        <v>51</v>
      </c>
      <c r="F58" s="15">
        <v>32732</v>
      </c>
      <c r="G58">
        <v>30.5</v>
      </c>
      <c r="H58">
        <v>38</v>
      </c>
      <c r="I58" s="1">
        <v>1159</v>
      </c>
    </row>
    <row r="59" spans="1:9" x14ac:dyDescent="0.25">
      <c r="A59">
        <v>58</v>
      </c>
      <c r="B59" t="s">
        <v>95</v>
      </c>
      <c r="C59" t="s">
        <v>96</v>
      </c>
      <c r="D59" t="s">
        <v>33</v>
      </c>
      <c r="E59" t="s">
        <v>44</v>
      </c>
      <c r="F59" s="15">
        <v>35755</v>
      </c>
      <c r="G59">
        <v>27.6</v>
      </c>
      <c r="H59">
        <v>40</v>
      </c>
      <c r="I59" s="1">
        <v>1104</v>
      </c>
    </row>
    <row r="60" spans="1:9" x14ac:dyDescent="0.25">
      <c r="A60">
        <v>59</v>
      </c>
      <c r="B60" t="s">
        <v>128</v>
      </c>
      <c r="C60" t="s">
        <v>53</v>
      </c>
      <c r="D60" t="s">
        <v>85</v>
      </c>
      <c r="E60" t="s">
        <v>31</v>
      </c>
      <c r="F60" s="15">
        <v>34709</v>
      </c>
      <c r="G60">
        <v>45</v>
      </c>
      <c r="H60">
        <v>42</v>
      </c>
      <c r="I60" s="1">
        <v>1890</v>
      </c>
    </row>
    <row r="61" spans="1:9" x14ac:dyDescent="0.25">
      <c r="A61">
        <v>60</v>
      </c>
      <c r="B61" t="s">
        <v>179</v>
      </c>
      <c r="C61" t="s">
        <v>180</v>
      </c>
      <c r="D61" t="s">
        <v>80</v>
      </c>
      <c r="E61" t="s">
        <v>54</v>
      </c>
      <c r="F61" s="15">
        <v>34500</v>
      </c>
      <c r="G61">
        <v>23.75</v>
      </c>
      <c r="H61">
        <v>40</v>
      </c>
      <c r="I61" s="1">
        <v>950</v>
      </c>
    </row>
    <row r="62" spans="1:9" x14ac:dyDescent="0.25">
      <c r="A62">
        <v>61</v>
      </c>
      <c r="B62" t="s">
        <v>67</v>
      </c>
      <c r="C62" t="s">
        <v>68</v>
      </c>
      <c r="D62" t="s">
        <v>43</v>
      </c>
      <c r="E62" t="s">
        <v>51</v>
      </c>
      <c r="F62" s="15">
        <v>34846</v>
      </c>
      <c r="G62">
        <v>23.52</v>
      </c>
      <c r="H62">
        <v>25</v>
      </c>
      <c r="I62" s="1">
        <v>588</v>
      </c>
    </row>
    <row r="63" spans="1:9" x14ac:dyDescent="0.25">
      <c r="A63">
        <v>62</v>
      </c>
      <c r="B63" t="s">
        <v>108</v>
      </c>
      <c r="C63" t="s">
        <v>109</v>
      </c>
      <c r="D63" t="s">
        <v>89</v>
      </c>
      <c r="E63" t="s">
        <v>44</v>
      </c>
      <c r="F63" s="15">
        <v>35545</v>
      </c>
      <c r="G63">
        <v>21.5</v>
      </c>
      <c r="H63">
        <v>15.5</v>
      </c>
      <c r="I63" s="1">
        <v>333.25</v>
      </c>
    </row>
    <row r="64" spans="1:9" x14ac:dyDescent="0.25">
      <c r="A64">
        <v>63</v>
      </c>
      <c r="B64" t="s">
        <v>162</v>
      </c>
      <c r="C64" t="s">
        <v>163</v>
      </c>
      <c r="D64" t="s">
        <v>75</v>
      </c>
      <c r="E64" t="s">
        <v>31</v>
      </c>
      <c r="F64" s="15">
        <v>33059</v>
      </c>
      <c r="G64">
        <v>30.5</v>
      </c>
      <c r="H64">
        <v>40</v>
      </c>
      <c r="I64" s="1">
        <v>1220</v>
      </c>
    </row>
    <row r="65" spans="1:9" x14ac:dyDescent="0.25">
      <c r="A65">
        <v>64</v>
      </c>
      <c r="B65" t="s">
        <v>181</v>
      </c>
      <c r="C65" t="s">
        <v>182</v>
      </c>
      <c r="D65" t="s">
        <v>30</v>
      </c>
      <c r="E65" t="s">
        <v>54</v>
      </c>
      <c r="F65" s="15">
        <v>35390</v>
      </c>
      <c r="G65">
        <v>27.1</v>
      </c>
      <c r="H65">
        <v>35</v>
      </c>
      <c r="I65" s="1">
        <v>948.5</v>
      </c>
    </row>
    <row r="66" spans="1:9" x14ac:dyDescent="0.25">
      <c r="A66">
        <v>65</v>
      </c>
      <c r="B66" t="s">
        <v>153</v>
      </c>
      <c r="C66" t="s">
        <v>154</v>
      </c>
      <c r="D66" t="s">
        <v>33</v>
      </c>
      <c r="E66" t="s">
        <v>51</v>
      </c>
      <c r="F66" s="15">
        <v>34364</v>
      </c>
      <c r="G66">
        <v>39</v>
      </c>
      <c r="H66">
        <v>35</v>
      </c>
      <c r="I66" s="1">
        <v>1365</v>
      </c>
    </row>
    <row r="67" spans="1:9" x14ac:dyDescent="0.25">
      <c r="A67">
        <v>66</v>
      </c>
      <c r="B67" t="s">
        <v>101</v>
      </c>
      <c r="C67" t="s">
        <v>102</v>
      </c>
      <c r="D67" t="s">
        <v>85</v>
      </c>
      <c r="E67" t="s">
        <v>44</v>
      </c>
      <c r="F67" s="15">
        <v>33688</v>
      </c>
      <c r="G67">
        <v>28.3</v>
      </c>
      <c r="H67">
        <v>35.5</v>
      </c>
      <c r="I67" s="1">
        <v>1004.65</v>
      </c>
    </row>
    <row r="68" spans="1:9" x14ac:dyDescent="0.25">
      <c r="A68">
        <v>67</v>
      </c>
      <c r="B68" t="s">
        <v>206</v>
      </c>
      <c r="C68" t="s">
        <v>207</v>
      </c>
      <c r="D68" t="s">
        <v>80</v>
      </c>
      <c r="E68" t="s">
        <v>31</v>
      </c>
      <c r="F68" s="15">
        <v>35038</v>
      </c>
      <c r="G68">
        <v>21.5</v>
      </c>
      <c r="H68">
        <v>29.5</v>
      </c>
      <c r="I68" s="1">
        <v>634.25</v>
      </c>
    </row>
    <row r="69" spans="1:9" x14ac:dyDescent="0.25">
      <c r="A69">
        <v>68</v>
      </c>
      <c r="B69" t="s">
        <v>52</v>
      </c>
      <c r="C69" t="s">
        <v>53</v>
      </c>
      <c r="D69" t="s">
        <v>43</v>
      </c>
      <c r="E69" t="s">
        <v>54</v>
      </c>
      <c r="F69" s="15">
        <v>35715</v>
      </c>
      <c r="G69">
        <v>35</v>
      </c>
      <c r="H69">
        <v>40</v>
      </c>
      <c r="I69" s="1">
        <v>1400</v>
      </c>
    </row>
    <row r="70" spans="1:9" x14ac:dyDescent="0.25">
      <c r="A70">
        <v>69</v>
      </c>
      <c r="B70" t="s">
        <v>183</v>
      </c>
      <c r="C70" t="s">
        <v>184</v>
      </c>
      <c r="D70" t="s">
        <v>89</v>
      </c>
      <c r="E70" t="s">
        <v>51</v>
      </c>
      <c r="F70" s="15">
        <v>36231</v>
      </c>
      <c r="G70">
        <v>27.1</v>
      </c>
      <c r="H70">
        <v>35</v>
      </c>
      <c r="I70" s="1">
        <v>948.5</v>
      </c>
    </row>
    <row r="71" spans="1:9" x14ac:dyDescent="0.25">
      <c r="A71">
        <v>70</v>
      </c>
      <c r="B71" t="s">
        <v>76</v>
      </c>
      <c r="C71" t="s">
        <v>77</v>
      </c>
      <c r="D71" t="s">
        <v>75</v>
      </c>
      <c r="E71" t="s">
        <v>44</v>
      </c>
      <c r="F71" s="15">
        <v>35759</v>
      </c>
      <c r="G71">
        <v>39</v>
      </c>
      <c r="H71">
        <v>42</v>
      </c>
      <c r="I71" s="1">
        <v>1638</v>
      </c>
    </row>
    <row r="72" spans="1:9" x14ac:dyDescent="0.25">
      <c r="A72">
        <v>71</v>
      </c>
      <c r="B72" t="s">
        <v>199</v>
      </c>
      <c r="C72" t="s">
        <v>200</v>
      </c>
      <c r="D72" t="s">
        <v>30</v>
      </c>
      <c r="E72" t="s">
        <v>31</v>
      </c>
      <c r="F72" s="15">
        <v>36312</v>
      </c>
      <c r="G72">
        <v>28.3</v>
      </c>
      <c r="H72">
        <v>29.5</v>
      </c>
      <c r="I72" s="1">
        <v>834.85</v>
      </c>
    </row>
    <row r="73" spans="1:9" x14ac:dyDescent="0.25">
      <c r="A73">
        <v>72</v>
      </c>
      <c r="B73" t="s">
        <v>192</v>
      </c>
      <c r="C73" t="s">
        <v>193</v>
      </c>
      <c r="D73" t="s">
        <v>33</v>
      </c>
      <c r="E73" t="s">
        <v>54</v>
      </c>
      <c r="F73" s="15">
        <v>34609</v>
      </c>
      <c r="G73">
        <v>21.5</v>
      </c>
      <c r="H73">
        <v>40</v>
      </c>
      <c r="I73" s="1">
        <v>860</v>
      </c>
    </row>
    <row r="74" spans="1:9" x14ac:dyDescent="0.25">
      <c r="A74">
        <v>73</v>
      </c>
      <c r="B74" t="s">
        <v>190</v>
      </c>
      <c r="C74" t="s">
        <v>191</v>
      </c>
      <c r="D74" t="s">
        <v>85</v>
      </c>
      <c r="E74" t="s">
        <v>51</v>
      </c>
      <c r="F74" s="15">
        <v>33646</v>
      </c>
      <c r="G74">
        <v>22.22</v>
      </c>
      <c r="H74">
        <v>40</v>
      </c>
      <c r="I74" s="1">
        <v>888.8</v>
      </c>
    </row>
    <row r="75" spans="1:9" x14ac:dyDescent="0.25">
      <c r="A75">
        <v>74</v>
      </c>
      <c r="B75" t="s">
        <v>97</v>
      </c>
      <c r="C75" t="s">
        <v>98</v>
      </c>
      <c r="D75" t="s">
        <v>80</v>
      </c>
      <c r="E75" t="s">
        <v>44</v>
      </c>
      <c r="F75" s="15">
        <v>32919</v>
      </c>
      <c r="G75">
        <v>27.1</v>
      </c>
      <c r="H75">
        <v>40</v>
      </c>
      <c r="I75" s="1">
        <v>1084</v>
      </c>
    </row>
    <row r="76" spans="1:9" x14ac:dyDescent="0.25">
      <c r="A76">
        <v>75</v>
      </c>
      <c r="B76" t="s">
        <v>61</v>
      </c>
      <c r="C76" t="s">
        <v>62</v>
      </c>
      <c r="D76" t="s">
        <v>43</v>
      </c>
      <c r="E76" t="s">
        <v>31</v>
      </c>
      <c r="F76" s="15">
        <v>33831</v>
      </c>
      <c r="G76">
        <v>31.75</v>
      </c>
      <c r="H76">
        <v>29.5</v>
      </c>
      <c r="I76" s="1">
        <v>936.625</v>
      </c>
    </row>
    <row r="77" spans="1:9" x14ac:dyDescent="0.25">
      <c r="A77">
        <v>76</v>
      </c>
      <c r="B77" t="s">
        <v>194</v>
      </c>
      <c r="C77" t="s">
        <v>195</v>
      </c>
      <c r="D77" t="s">
        <v>89</v>
      </c>
      <c r="E77" t="s">
        <v>54</v>
      </c>
      <c r="F77" s="15">
        <v>35728</v>
      </c>
      <c r="G77">
        <v>21.5</v>
      </c>
      <c r="H77">
        <v>40</v>
      </c>
      <c r="I77" s="1">
        <v>860</v>
      </c>
    </row>
    <row r="78" spans="1:9" x14ac:dyDescent="0.25">
      <c r="A78">
        <v>77</v>
      </c>
      <c r="B78" t="s">
        <v>146</v>
      </c>
      <c r="C78" t="s">
        <v>147</v>
      </c>
      <c r="D78" t="s">
        <v>75</v>
      </c>
      <c r="E78" t="s">
        <v>51</v>
      </c>
      <c r="F78" s="15">
        <v>34679</v>
      </c>
      <c r="G78">
        <v>34.5</v>
      </c>
      <c r="H78">
        <v>40</v>
      </c>
      <c r="I78" s="1">
        <v>1380</v>
      </c>
    </row>
    <row r="79" spans="1:9" x14ac:dyDescent="0.25">
      <c r="A79">
        <v>78</v>
      </c>
      <c r="B79" t="s">
        <v>71</v>
      </c>
      <c r="C79" t="s">
        <v>72</v>
      </c>
      <c r="D79" t="s">
        <v>30</v>
      </c>
      <c r="E79" t="s">
        <v>44</v>
      </c>
      <c r="F79" s="15">
        <v>36221</v>
      </c>
      <c r="G79">
        <v>48</v>
      </c>
      <c r="H79">
        <v>40</v>
      </c>
      <c r="I79" s="1">
        <v>1920</v>
      </c>
    </row>
    <row r="80" spans="1:9" x14ac:dyDescent="0.25">
      <c r="A80">
        <v>79</v>
      </c>
      <c r="B80" t="s">
        <v>164</v>
      </c>
      <c r="C80" t="s">
        <v>165</v>
      </c>
      <c r="D80" t="s">
        <v>33</v>
      </c>
      <c r="E80" t="s">
        <v>31</v>
      </c>
      <c r="F80" s="15">
        <v>34171</v>
      </c>
      <c r="G80">
        <v>30</v>
      </c>
      <c r="H80">
        <v>40</v>
      </c>
      <c r="I80" s="1">
        <v>1200</v>
      </c>
    </row>
    <row r="81" spans="1:9" x14ac:dyDescent="0.25">
      <c r="A81">
        <v>80</v>
      </c>
      <c r="B81" t="s">
        <v>196</v>
      </c>
      <c r="C81" t="s">
        <v>197</v>
      </c>
      <c r="D81" t="s">
        <v>85</v>
      </c>
      <c r="E81" t="s">
        <v>54</v>
      </c>
      <c r="F81" s="15">
        <v>44877</v>
      </c>
      <c r="G81">
        <v>21.5</v>
      </c>
      <c r="H81">
        <v>40</v>
      </c>
      <c r="I81" s="1">
        <v>860</v>
      </c>
    </row>
    <row r="82" spans="1:9" x14ac:dyDescent="0.25">
      <c r="A82">
        <v>81</v>
      </c>
      <c r="B82" t="s">
        <v>160</v>
      </c>
      <c r="C82" t="s">
        <v>161</v>
      </c>
      <c r="D82" t="s">
        <v>80</v>
      </c>
      <c r="E82" t="s">
        <v>51</v>
      </c>
      <c r="F82" s="15">
        <v>33908</v>
      </c>
      <c r="G82">
        <v>30.5</v>
      </c>
      <c r="H82">
        <v>40</v>
      </c>
      <c r="I82" s="1">
        <v>1220</v>
      </c>
    </row>
    <row r="83" spans="1:9" x14ac:dyDescent="0.25">
      <c r="A83">
        <v>82</v>
      </c>
      <c r="B83" t="s">
        <v>45</v>
      </c>
      <c r="C83" t="s">
        <v>46</v>
      </c>
      <c r="D83" t="s">
        <v>43</v>
      </c>
      <c r="E83" t="s">
        <v>44</v>
      </c>
      <c r="F83" s="15">
        <v>35451</v>
      </c>
      <c r="G83">
        <v>30</v>
      </c>
      <c r="H83">
        <v>29.5</v>
      </c>
      <c r="I83" s="1">
        <v>885</v>
      </c>
    </row>
    <row r="84" spans="1:9" x14ac:dyDescent="0.25">
      <c r="A84">
        <v>83</v>
      </c>
      <c r="B84" t="s">
        <v>213</v>
      </c>
      <c r="C84" t="s">
        <v>214</v>
      </c>
      <c r="D84" t="s">
        <v>89</v>
      </c>
      <c r="E84" t="s">
        <v>31</v>
      </c>
      <c r="F84" s="15">
        <v>32568</v>
      </c>
      <c r="G84">
        <v>27.6</v>
      </c>
      <c r="H84">
        <v>15.5</v>
      </c>
      <c r="I84" s="1">
        <v>427.8</v>
      </c>
    </row>
    <row r="85" spans="1:9" x14ac:dyDescent="0.25">
      <c r="A85">
        <v>84</v>
      </c>
      <c r="B85" t="s">
        <v>201</v>
      </c>
      <c r="C85" t="s">
        <v>202</v>
      </c>
      <c r="D85" t="s">
        <v>75</v>
      </c>
      <c r="E85" t="s">
        <v>54</v>
      </c>
      <c r="F85" s="15">
        <v>34673</v>
      </c>
      <c r="G85">
        <v>23.75</v>
      </c>
      <c r="H85">
        <v>32</v>
      </c>
      <c r="I85" s="1">
        <v>760</v>
      </c>
    </row>
    <row r="86" spans="1:9" x14ac:dyDescent="0.25">
      <c r="A86">
        <v>85</v>
      </c>
      <c r="B86" t="s">
        <v>156</v>
      </c>
      <c r="C86" t="s">
        <v>157</v>
      </c>
      <c r="D86" t="s">
        <v>30</v>
      </c>
      <c r="E86" t="s">
        <v>51</v>
      </c>
      <c r="F86" s="15">
        <v>35916</v>
      </c>
      <c r="G86">
        <v>30.5</v>
      </c>
      <c r="H86">
        <v>42</v>
      </c>
      <c r="I86" s="1">
        <v>1281</v>
      </c>
    </row>
    <row r="87" spans="1:9" x14ac:dyDescent="0.25">
      <c r="A87">
        <v>86</v>
      </c>
      <c r="B87" t="s">
        <v>92</v>
      </c>
      <c r="C87" t="s">
        <v>77</v>
      </c>
      <c r="D87" t="s">
        <v>33</v>
      </c>
      <c r="E87" t="s">
        <v>44</v>
      </c>
      <c r="F87" s="15">
        <v>34610</v>
      </c>
      <c r="G87">
        <v>30</v>
      </c>
      <c r="H87">
        <v>40</v>
      </c>
      <c r="I87" s="1">
        <v>1200</v>
      </c>
    </row>
    <row r="88" spans="1:9" x14ac:dyDescent="0.25">
      <c r="A88">
        <v>87</v>
      </c>
      <c r="B88" t="s">
        <v>116</v>
      </c>
      <c r="C88" t="s">
        <v>117</v>
      </c>
      <c r="D88" t="s">
        <v>85</v>
      </c>
      <c r="E88" t="s">
        <v>31</v>
      </c>
      <c r="F88" s="15">
        <v>35739</v>
      </c>
      <c r="G88">
        <v>60</v>
      </c>
      <c r="H88">
        <v>35</v>
      </c>
      <c r="I88" s="1">
        <v>2100</v>
      </c>
    </row>
    <row r="89" spans="1:9" x14ac:dyDescent="0.25">
      <c r="A89">
        <v>88</v>
      </c>
      <c r="B89" t="s">
        <v>78</v>
      </c>
      <c r="C89" t="s">
        <v>198</v>
      </c>
      <c r="D89" t="s">
        <v>80</v>
      </c>
      <c r="E89" t="s">
        <v>54</v>
      </c>
      <c r="F89" s="15">
        <v>31884</v>
      </c>
      <c r="G89">
        <v>21.5</v>
      </c>
      <c r="H89">
        <v>40</v>
      </c>
      <c r="I89" s="1">
        <v>860</v>
      </c>
    </row>
    <row r="90" spans="1:9" x14ac:dyDescent="0.25">
      <c r="A90">
        <v>89</v>
      </c>
      <c r="B90" t="s">
        <v>63</v>
      </c>
      <c r="C90" t="s">
        <v>64</v>
      </c>
      <c r="D90" t="s">
        <v>43</v>
      </c>
      <c r="E90" t="s">
        <v>51</v>
      </c>
      <c r="F90" s="15">
        <v>34879</v>
      </c>
      <c r="G90">
        <v>21.5</v>
      </c>
      <c r="H90">
        <v>40</v>
      </c>
      <c r="I90" s="1">
        <v>860</v>
      </c>
    </row>
    <row r="91" spans="1:9" x14ac:dyDescent="0.25">
      <c r="A91">
        <v>90</v>
      </c>
      <c r="B91" t="s">
        <v>112</v>
      </c>
      <c r="C91" t="s">
        <v>113</v>
      </c>
      <c r="D91" t="s">
        <v>89</v>
      </c>
      <c r="E91" t="s">
        <v>44</v>
      </c>
      <c r="F91" s="15">
        <v>34758</v>
      </c>
      <c r="G91">
        <v>20.5</v>
      </c>
      <c r="H91">
        <v>15.5</v>
      </c>
      <c r="I91" s="1">
        <v>317.75</v>
      </c>
    </row>
    <row r="92" spans="1:9" x14ac:dyDescent="0.25">
      <c r="A92">
        <v>91</v>
      </c>
      <c r="B92" t="s">
        <v>57</v>
      </c>
      <c r="C92" t="s">
        <v>158</v>
      </c>
      <c r="D92" t="s">
        <v>75</v>
      </c>
      <c r="E92" t="s">
        <v>31</v>
      </c>
      <c r="F92" s="15">
        <v>35055</v>
      </c>
      <c r="G92">
        <v>31.75</v>
      </c>
      <c r="H92">
        <v>40</v>
      </c>
      <c r="I92" s="1">
        <v>1270</v>
      </c>
    </row>
    <row r="93" spans="1:9" x14ac:dyDescent="0.25">
      <c r="A93">
        <v>92</v>
      </c>
      <c r="B93" t="s">
        <v>188</v>
      </c>
      <c r="C93" t="s">
        <v>189</v>
      </c>
      <c r="D93" t="s">
        <v>30</v>
      </c>
      <c r="E93" t="s">
        <v>54</v>
      </c>
      <c r="F93" s="15">
        <v>33568</v>
      </c>
      <c r="G93">
        <v>22.22</v>
      </c>
      <c r="H93">
        <v>40</v>
      </c>
      <c r="I93" s="1">
        <v>888.8</v>
      </c>
    </row>
    <row r="94" spans="1:9" x14ac:dyDescent="0.25">
      <c r="A94">
        <v>93</v>
      </c>
      <c r="B94" t="s">
        <v>129</v>
      </c>
      <c r="C94" t="s">
        <v>98</v>
      </c>
      <c r="D94" t="s">
        <v>33</v>
      </c>
      <c r="E94" t="s">
        <v>51</v>
      </c>
      <c r="F94" s="15">
        <v>36256</v>
      </c>
      <c r="G94">
        <v>47</v>
      </c>
      <c r="H94">
        <v>40</v>
      </c>
      <c r="I94" s="1">
        <v>1880</v>
      </c>
    </row>
    <row r="95" spans="1:9" x14ac:dyDescent="0.25">
      <c r="A95">
        <v>94</v>
      </c>
      <c r="B95" t="s">
        <v>110</v>
      </c>
      <c r="C95" t="s">
        <v>111</v>
      </c>
      <c r="D95" t="s">
        <v>85</v>
      </c>
      <c r="E95" t="s">
        <v>44</v>
      </c>
      <c r="F95" s="15">
        <v>36037</v>
      </c>
      <c r="G95">
        <v>21.5</v>
      </c>
      <c r="H95">
        <v>15.5</v>
      </c>
      <c r="I95" s="1">
        <v>333.25</v>
      </c>
    </row>
  </sheetData>
  <sortState xmlns:xlrd2="http://schemas.microsoft.com/office/spreadsheetml/2017/richdata2" ref="A2:I95">
    <sortCondition ref="A2:A95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_xlnm.Extract">
                <anchor moveWithCells="1" sizeWithCells="1">
                  <from>
                    <xdr:col>12</xdr:col>
                    <xdr:colOff>19050</xdr:colOff>
                    <xdr:row>1</xdr:row>
                    <xdr:rowOff>57150</xdr:rowOff>
                  </from>
                  <to>
                    <xdr:col>14</xdr:col>
                    <xdr:colOff>38100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077EF-B1C5-4C16-89BA-2A763FB55F8F}">
  <sheetPr codeName="Sheet11"/>
  <dimension ref="A1:I25"/>
  <sheetViews>
    <sheetView workbookViewId="0">
      <selection activeCell="A2" sqref="A2:I25"/>
    </sheetView>
  </sheetViews>
  <sheetFormatPr defaultRowHeight="15" x14ac:dyDescent="0.25"/>
  <cols>
    <col min="1" max="1" width="5.7109375" bestFit="1" customWidth="1"/>
    <col min="2" max="2" width="8.85546875" bestFit="1" customWidth="1"/>
    <col min="3" max="3" width="9" bestFit="1" customWidth="1"/>
    <col min="4" max="4" width="7.85546875" bestFit="1" customWidth="1"/>
    <col min="5" max="5" width="7.140625" bestFit="1" customWidth="1"/>
    <col min="6" max="6" width="12.28515625" bestFit="1" customWidth="1"/>
    <col min="7" max="7" width="13.28515625" bestFit="1" customWidth="1"/>
    <col min="8" max="8" width="5" bestFit="1" customWidth="1"/>
    <col min="9" max="9" width="11.85546875" bestFit="1" customWidth="1"/>
  </cols>
  <sheetData>
    <row r="1" spans="1:9" x14ac:dyDescent="0.25">
      <c r="A1" s="7" t="s">
        <v>34</v>
      </c>
      <c r="B1" s="7" t="s">
        <v>35</v>
      </c>
      <c r="C1" s="7" t="s">
        <v>36</v>
      </c>
      <c r="D1" s="7" t="s">
        <v>23</v>
      </c>
      <c r="E1" s="7" t="s">
        <v>24</v>
      </c>
      <c r="F1" s="21" t="s">
        <v>37</v>
      </c>
      <c r="G1" s="7" t="s">
        <v>38</v>
      </c>
      <c r="H1" s="7" t="s">
        <v>39</v>
      </c>
      <c r="I1" s="20" t="s">
        <v>40</v>
      </c>
    </row>
    <row r="2" spans="1:9" x14ac:dyDescent="0.25">
      <c r="A2">
        <v>1</v>
      </c>
      <c r="B2" t="s">
        <v>134</v>
      </c>
      <c r="C2" t="s">
        <v>135</v>
      </c>
      <c r="D2" t="s">
        <v>30</v>
      </c>
      <c r="E2" t="s">
        <v>51</v>
      </c>
      <c r="F2" s="15">
        <v>34690</v>
      </c>
      <c r="G2">
        <v>45</v>
      </c>
      <c r="H2">
        <v>35.5</v>
      </c>
      <c r="I2" s="1">
        <v>1597.5</v>
      </c>
    </row>
    <row r="3" spans="1:9" x14ac:dyDescent="0.25">
      <c r="A3">
        <v>5</v>
      </c>
      <c r="B3" t="s">
        <v>59</v>
      </c>
      <c r="C3" t="s">
        <v>60</v>
      </c>
      <c r="D3" t="s">
        <v>43</v>
      </c>
      <c r="E3" t="s">
        <v>51</v>
      </c>
      <c r="F3" s="15">
        <v>33399</v>
      </c>
      <c r="G3">
        <v>27.6</v>
      </c>
      <c r="H3">
        <v>40</v>
      </c>
      <c r="I3" s="1">
        <v>1104</v>
      </c>
    </row>
    <row r="4" spans="1:9" x14ac:dyDescent="0.25">
      <c r="A4">
        <v>9</v>
      </c>
      <c r="B4" t="s">
        <v>170</v>
      </c>
      <c r="C4" t="s">
        <v>171</v>
      </c>
      <c r="D4" t="s">
        <v>33</v>
      </c>
      <c r="E4" t="s">
        <v>51</v>
      </c>
      <c r="F4" s="15">
        <v>35825</v>
      </c>
      <c r="G4">
        <v>28.3</v>
      </c>
      <c r="H4">
        <v>35.5</v>
      </c>
      <c r="I4" s="1">
        <v>1004.65</v>
      </c>
    </row>
    <row r="5" spans="1:9" x14ac:dyDescent="0.25">
      <c r="A5">
        <v>13</v>
      </c>
      <c r="B5" t="s">
        <v>132</v>
      </c>
      <c r="C5" t="s">
        <v>133</v>
      </c>
      <c r="D5" t="s">
        <v>89</v>
      </c>
      <c r="E5" t="s">
        <v>51</v>
      </c>
      <c r="F5" s="15">
        <v>33992</v>
      </c>
      <c r="G5">
        <v>50</v>
      </c>
      <c r="H5">
        <v>35.5</v>
      </c>
      <c r="I5" s="1">
        <v>1775</v>
      </c>
    </row>
    <row r="6" spans="1:9" x14ac:dyDescent="0.25">
      <c r="A6">
        <v>17</v>
      </c>
      <c r="B6" t="s">
        <v>136</v>
      </c>
      <c r="C6" t="s">
        <v>137</v>
      </c>
      <c r="D6" t="s">
        <v>85</v>
      </c>
      <c r="E6" t="s">
        <v>51</v>
      </c>
      <c r="F6" s="15">
        <v>34094</v>
      </c>
      <c r="G6">
        <v>37</v>
      </c>
      <c r="H6">
        <v>40</v>
      </c>
      <c r="I6" s="1">
        <v>1480</v>
      </c>
    </row>
    <row r="7" spans="1:9" x14ac:dyDescent="0.25">
      <c r="A7">
        <v>21</v>
      </c>
      <c r="B7" t="s">
        <v>208</v>
      </c>
      <c r="C7" t="s">
        <v>77</v>
      </c>
      <c r="D7" t="s">
        <v>75</v>
      </c>
      <c r="E7" t="s">
        <v>51</v>
      </c>
      <c r="F7" s="15">
        <v>33649</v>
      </c>
      <c r="G7">
        <v>23.52</v>
      </c>
      <c r="H7">
        <v>25</v>
      </c>
      <c r="I7" s="1">
        <v>588</v>
      </c>
    </row>
    <row r="8" spans="1:9" x14ac:dyDescent="0.25">
      <c r="A8">
        <v>25</v>
      </c>
      <c r="B8" t="s">
        <v>159</v>
      </c>
      <c r="C8" t="s">
        <v>76</v>
      </c>
      <c r="D8" t="s">
        <v>80</v>
      </c>
      <c r="E8" t="s">
        <v>51</v>
      </c>
      <c r="F8" s="15">
        <v>35747</v>
      </c>
      <c r="G8">
        <v>30.5</v>
      </c>
      <c r="H8">
        <v>40</v>
      </c>
      <c r="I8" s="1">
        <v>1220</v>
      </c>
    </row>
    <row r="9" spans="1:9" x14ac:dyDescent="0.25">
      <c r="A9">
        <v>29</v>
      </c>
      <c r="B9" t="s">
        <v>203</v>
      </c>
      <c r="C9" t="s">
        <v>204</v>
      </c>
      <c r="D9" t="s">
        <v>30</v>
      </c>
      <c r="E9" t="s">
        <v>51</v>
      </c>
      <c r="F9" s="15">
        <v>33831</v>
      </c>
      <c r="G9">
        <v>20.5</v>
      </c>
      <c r="H9">
        <v>32</v>
      </c>
      <c r="I9" s="1">
        <v>656</v>
      </c>
    </row>
    <row r="10" spans="1:9" x14ac:dyDescent="0.25">
      <c r="A10">
        <v>33</v>
      </c>
      <c r="B10" t="s">
        <v>49</v>
      </c>
      <c r="C10" t="s">
        <v>50</v>
      </c>
      <c r="D10" t="s">
        <v>43</v>
      </c>
      <c r="E10" t="s">
        <v>51</v>
      </c>
      <c r="F10" s="15">
        <v>36017</v>
      </c>
      <c r="G10">
        <v>50</v>
      </c>
      <c r="H10">
        <v>35</v>
      </c>
      <c r="I10" s="1">
        <v>1750</v>
      </c>
    </row>
    <row r="11" spans="1:9" x14ac:dyDescent="0.25">
      <c r="A11">
        <v>37</v>
      </c>
      <c r="B11" t="s">
        <v>124</v>
      </c>
      <c r="C11" t="s">
        <v>205</v>
      </c>
      <c r="D11" t="s">
        <v>33</v>
      </c>
      <c r="E11" t="s">
        <v>51</v>
      </c>
      <c r="F11" s="15">
        <v>34949</v>
      </c>
      <c r="G11">
        <v>21.5</v>
      </c>
      <c r="H11">
        <v>29.5</v>
      </c>
      <c r="I11" s="1">
        <v>634.25</v>
      </c>
    </row>
    <row r="12" spans="1:9" x14ac:dyDescent="0.25">
      <c r="A12">
        <v>41</v>
      </c>
      <c r="B12" t="s">
        <v>186</v>
      </c>
      <c r="C12" t="s">
        <v>187</v>
      </c>
      <c r="D12" t="s">
        <v>89</v>
      </c>
      <c r="E12" t="s">
        <v>51</v>
      </c>
      <c r="F12" s="15">
        <v>34471</v>
      </c>
      <c r="G12">
        <v>23.22</v>
      </c>
      <c r="H12">
        <v>40</v>
      </c>
      <c r="I12" s="1">
        <v>928.8</v>
      </c>
    </row>
    <row r="13" spans="1:9" x14ac:dyDescent="0.25">
      <c r="A13">
        <v>45</v>
      </c>
      <c r="B13" t="s">
        <v>138</v>
      </c>
      <c r="C13" t="s">
        <v>139</v>
      </c>
      <c r="D13" t="s">
        <v>85</v>
      </c>
      <c r="E13" t="s">
        <v>51</v>
      </c>
      <c r="F13" s="15">
        <v>33883</v>
      </c>
      <c r="G13">
        <v>37</v>
      </c>
      <c r="H13">
        <v>40</v>
      </c>
      <c r="I13" s="1">
        <v>1480</v>
      </c>
    </row>
    <row r="14" spans="1:9" x14ac:dyDescent="0.25">
      <c r="A14">
        <v>49</v>
      </c>
      <c r="B14" t="s">
        <v>136</v>
      </c>
      <c r="C14" t="s">
        <v>174</v>
      </c>
      <c r="D14" t="s">
        <v>75</v>
      </c>
      <c r="E14" t="s">
        <v>51</v>
      </c>
      <c r="F14" s="15">
        <v>35034</v>
      </c>
      <c r="G14">
        <v>27.5</v>
      </c>
      <c r="H14">
        <v>35.5</v>
      </c>
      <c r="I14" s="1">
        <v>976.25</v>
      </c>
    </row>
    <row r="15" spans="1:9" x14ac:dyDescent="0.25">
      <c r="A15">
        <v>53</v>
      </c>
      <c r="B15" t="s">
        <v>151</v>
      </c>
      <c r="C15" t="s">
        <v>152</v>
      </c>
      <c r="D15" t="s">
        <v>80</v>
      </c>
      <c r="E15" t="s">
        <v>51</v>
      </c>
      <c r="F15" s="15">
        <v>34347</v>
      </c>
      <c r="G15">
        <v>39</v>
      </c>
      <c r="H15">
        <v>35</v>
      </c>
      <c r="I15" s="1">
        <v>1365</v>
      </c>
    </row>
    <row r="16" spans="1:9" x14ac:dyDescent="0.25">
      <c r="A16">
        <v>57</v>
      </c>
      <c r="B16" t="s">
        <v>73</v>
      </c>
      <c r="C16" t="s">
        <v>166</v>
      </c>
      <c r="D16" t="s">
        <v>30</v>
      </c>
      <c r="E16" t="s">
        <v>51</v>
      </c>
      <c r="F16" s="15">
        <v>32732</v>
      </c>
      <c r="G16">
        <v>30.5</v>
      </c>
      <c r="H16">
        <v>38</v>
      </c>
      <c r="I16" s="1">
        <v>1159</v>
      </c>
    </row>
    <row r="17" spans="1:9" x14ac:dyDescent="0.25">
      <c r="A17">
        <v>61</v>
      </c>
      <c r="B17" t="s">
        <v>67</v>
      </c>
      <c r="C17" t="s">
        <v>68</v>
      </c>
      <c r="D17" t="s">
        <v>43</v>
      </c>
      <c r="E17" t="s">
        <v>51</v>
      </c>
      <c r="F17" s="15">
        <v>34846</v>
      </c>
      <c r="G17">
        <v>23.52</v>
      </c>
      <c r="H17">
        <v>25</v>
      </c>
      <c r="I17" s="1">
        <v>588</v>
      </c>
    </row>
    <row r="18" spans="1:9" x14ac:dyDescent="0.25">
      <c r="A18">
        <v>65</v>
      </c>
      <c r="B18" t="s">
        <v>153</v>
      </c>
      <c r="C18" t="s">
        <v>154</v>
      </c>
      <c r="D18" t="s">
        <v>33</v>
      </c>
      <c r="E18" t="s">
        <v>51</v>
      </c>
      <c r="F18" s="15">
        <v>34364</v>
      </c>
      <c r="G18">
        <v>39</v>
      </c>
      <c r="H18">
        <v>35</v>
      </c>
      <c r="I18" s="1">
        <v>1365</v>
      </c>
    </row>
    <row r="19" spans="1:9" x14ac:dyDescent="0.25">
      <c r="A19">
        <v>69</v>
      </c>
      <c r="B19" t="s">
        <v>183</v>
      </c>
      <c r="C19" t="s">
        <v>184</v>
      </c>
      <c r="D19" t="s">
        <v>89</v>
      </c>
      <c r="E19" t="s">
        <v>51</v>
      </c>
      <c r="F19" s="15">
        <v>36231</v>
      </c>
      <c r="G19">
        <v>27.1</v>
      </c>
      <c r="H19">
        <v>35</v>
      </c>
      <c r="I19" s="1">
        <v>948.5</v>
      </c>
    </row>
    <row r="20" spans="1:9" x14ac:dyDescent="0.25">
      <c r="A20">
        <v>73</v>
      </c>
      <c r="B20" t="s">
        <v>190</v>
      </c>
      <c r="C20" t="s">
        <v>191</v>
      </c>
      <c r="D20" t="s">
        <v>85</v>
      </c>
      <c r="E20" t="s">
        <v>51</v>
      </c>
      <c r="F20" s="15">
        <v>33646</v>
      </c>
      <c r="G20">
        <v>22.22</v>
      </c>
      <c r="H20">
        <v>40</v>
      </c>
      <c r="I20" s="1">
        <v>888.8</v>
      </c>
    </row>
    <row r="21" spans="1:9" x14ac:dyDescent="0.25">
      <c r="A21">
        <v>77</v>
      </c>
      <c r="B21" t="s">
        <v>146</v>
      </c>
      <c r="C21" t="s">
        <v>147</v>
      </c>
      <c r="D21" t="s">
        <v>75</v>
      </c>
      <c r="E21" t="s">
        <v>51</v>
      </c>
      <c r="F21" s="15">
        <v>34679</v>
      </c>
      <c r="G21">
        <v>34.5</v>
      </c>
      <c r="H21">
        <v>40</v>
      </c>
      <c r="I21" s="1">
        <v>1380</v>
      </c>
    </row>
    <row r="22" spans="1:9" x14ac:dyDescent="0.25">
      <c r="A22">
        <v>81</v>
      </c>
      <c r="B22" t="s">
        <v>160</v>
      </c>
      <c r="C22" t="s">
        <v>161</v>
      </c>
      <c r="D22" t="s">
        <v>80</v>
      </c>
      <c r="E22" t="s">
        <v>51</v>
      </c>
      <c r="F22" s="15">
        <v>33908</v>
      </c>
      <c r="G22">
        <v>30.5</v>
      </c>
      <c r="H22">
        <v>40</v>
      </c>
      <c r="I22" s="1">
        <v>1220</v>
      </c>
    </row>
    <row r="23" spans="1:9" x14ac:dyDescent="0.25">
      <c r="A23">
        <v>85</v>
      </c>
      <c r="B23" t="s">
        <v>156</v>
      </c>
      <c r="C23" t="s">
        <v>157</v>
      </c>
      <c r="D23" t="s">
        <v>30</v>
      </c>
      <c r="E23" t="s">
        <v>51</v>
      </c>
      <c r="F23" s="15">
        <v>35916</v>
      </c>
      <c r="G23">
        <v>30.5</v>
      </c>
      <c r="H23">
        <v>42</v>
      </c>
      <c r="I23" s="1">
        <v>1281</v>
      </c>
    </row>
    <row r="24" spans="1:9" x14ac:dyDescent="0.25">
      <c r="A24">
        <v>89</v>
      </c>
      <c r="B24" t="s">
        <v>63</v>
      </c>
      <c r="C24" t="s">
        <v>64</v>
      </c>
      <c r="D24" t="s">
        <v>43</v>
      </c>
      <c r="E24" t="s">
        <v>51</v>
      </c>
      <c r="F24" s="15">
        <v>34879</v>
      </c>
      <c r="G24">
        <v>21.5</v>
      </c>
      <c r="H24">
        <v>40</v>
      </c>
      <c r="I24" s="1">
        <v>860</v>
      </c>
    </row>
    <row r="25" spans="1:9" x14ac:dyDescent="0.25">
      <c r="A25">
        <v>93</v>
      </c>
      <c r="B25" t="s">
        <v>129</v>
      </c>
      <c r="C25" t="s">
        <v>98</v>
      </c>
      <c r="D25" t="s">
        <v>33</v>
      </c>
      <c r="E25" t="s">
        <v>51</v>
      </c>
      <c r="F25" s="15">
        <v>36256</v>
      </c>
      <c r="G25">
        <v>47</v>
      </c>
      <c r="H25">
        <v>40</v>
      </c>
      <c r="I25" s="1">
        <v>1880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08362-0BDB-408D-8E8B-5793AEBE0154}">
  <sheetPr codeName="Sheet9"/>
  <dimension ref="A1:I49"/>
  <sheetViews>
    <sheetView workbookViewId="0">
      <selection activeCell="J19" sqref="J19"/>
    </sheetView>
  </sheetViews>
  <sheetFormatPr defaultRowHeight="15" x14ac:dyDescent="0.25"/>
  <cols>
    <col min="1" max="1" width="5.7109375" bestFit="1" customWidth="1"/>
    <col min="2" max="2" width="10.42578125" bestFit="1" customWidth="1"/>
    <col min="3" max="3" width="9.7109375" bestFit="1" customWidth="1"/>
    <col min="4" max="4" width="7.85546875" bestFit="1" customWidth="1"/>
    <col min="5" max="5" width="7.140625" bestFit="1" customWidth="1"/>
    <col min="6" max="6" width="12.28515625" bestFit="1" customWidth="1"/>
    <col min="7" max="7" width="13.28515625" bestFit="1" customWidth="1"/>
    <col min="8" max="8" width="5" bestFit="1" customWidth="1"/>
    <col min="9" max="9" width="11.85546875" bestFit="1" customWidth="1"/>
  </cols>
  <sheetData>
    <row r="1" spans="1:9" x14ac:dyDescent="0.25">
      <c r="A1" s="7" t="s">
        <v>34</v>
      </c>
      <c r="B1" s="7" t="s">
        <v>35</v>
      </c>
      <c r="C1" s="7" t="s">
        <v>36</v>
      </c>
      <c r="D1" s="7" t="s">
        <v>23</v>
      </c>
      <c r="E1" s="7" t="s">
        <v>24</v>
      </c>
      <c r="F1" s="21" t="s">
        <v>37</v>
      </c>
      <c r="G1" s="7" t="s">
        <v>38</v>
      </c>
      <c r="H1" s="7" t="s">
        <v>39</v>
      </c>
      <c r="I1" s="20" t="s">
        <v>40</v>
      </c>
    </row>
    <row r="2" spans="1:9" x14ac:dyDescent="0.25">
      <c r="A2">
        <v>2</v>
      </c>
      <c r="B2" t="s">
        <v>99</v>
      </c>
      <c r="C2" t="s">
        <v>100</v>
      </c>
      <c r="D2" t="s">
        <v>33</v>
      </c>
      <c r="E2" t="s">
        <v>44</v>
      </c>
      <c r="F2" s="15">
        <v>34153</v>
      </c>
      <c r="G2">
        <v>28.3</v>
      </c>
      <c r="H2">
        <v>35.5</v>
      </c>
      <c r="I2" s="1">
        <v>1004.65</v>
      </c>
    </row>
    <row r="3" spans="1:9" x14ac:dyDescent="0.25">
      <c r="A3">
        <v>6</v>
      </c>
      <c r="B3" t="s">
        <v>90</v>
      </c>
      <c r="C3" t="s">
        <v>91</v>
      </c>
      <c r="D3" t="s">
        <v>89</v>
      </c>
      <c r="E3" t="s">
        <v>44</v>
      </c>
      <c r="F3" s="15">
        <v>34853</v>
      </c>
      <c r="G3">
        <v>39</v>
      </c>
      <c r="H3">
        <v>35</v>
      </c>
      <c r="I3" s="1">
        <v>1365</v>
      </c>
    </row>
    <row r="4" spans="1:9" x14ac:dyDescent="0.25">
      <c r="A4">
        <v>10</v>
      </c>
      <c r="B4" t="s">
        <v>83</v>
      </c>
      <c r="C4" t="s">
        <v>84</v>
      </c>
      <c r="D4" t="s">
        <v>85</v>
      </c>
      <c r="E4" t="s">
        <v>44</v>
      </c>
      <c r="F4" s="15">
        <v>36157</v>
      </c>
      <c r="G4">
        <v>36.5</v>
      </c>
      <c r="H4">
        <v>40</v>
      </c>
      <c r="I4" s="1">
        <v>1460</v>
      </c>
    </row>
    <row r="5" spans="1:9" x14ac:dyDescent="0.25">
      <c r="A5">
        <v>14</v>
      </c>
      <c r="B5" t="s">
        <v>101</v>
      </c>
      <c r="C5" t="s">
        <v>105</v>
      </c>
      <c r="D5" t="s">
        <v>75</v>
      </c>
      <c r="E5" t="s">
        <v>44</v>
      </c>
      <c r="F5" s="15">
        <v>35195</v>
      </c>
      <c r="G5">
        <v>22.22</v>
      </c>
      <c r="H5">
        <v>40</v>
      </c>
      <c r="I5" s="1">
        <v>888.8</v>
      </c>
    </row>
    <row r="6" spans="1:9" x14ac:dyDescent="0.25">
      <c r="A6">
        <v>18</v>
      </c>
      <c r="B6" t="s">
        <v>78</v>
      </c>
      <c r="C6" t="s">
        <v>79</v>
      </c>
      <c r="D6" t="s">
        <v>80</v>
      </c>
      <c r="E6" t="s">
        <v>44</v>
      </c>
      <c r="F6" s="15">
        <v>35050</v>
      </c>
      <c r="G6">
        <v>37</v>
      </c>
      <c r="H6">
        <v>40</v>
      </c>
      <c r="I6" s="1">
        <v>1480</v>
      </c>
    </row>
    <row r="7" spans="1:9" x14ac:dyDescent="0.25">
      <c r="A7">
        <v>22</v>
      </c>
      <c r="B7" t="s">
        <v>103</v>
      </c>
      <c r="C7" t="s">
        <v>104</v>
      </c>
      <c r="D7" t="s">
        <v>30</v>
      </c>
      <c r="E7" t="s">
        <v>44</v>
      </c>
      <c r="F7" s="15">
        <v>33634</v>
      </c>
      <c r="G7">
        <v>23.75</v>
      </c>
      <c r="H7">
        <v>40</v>
      </c>
      <c r="I7" s="1">
        <v>950</v>
      </c>
    </row>
    <row r="8" spans="1:9" x14ac:dyDescent="0.25">
      <c r="A8">
        <v>26</v>
      </c>
      <c r="B8" t="s">
        <v>47</v>
      </c>
      <c r="C8" t="s">
        <v>48</v>
      </c>
      <c r="D8" t="s">
        <v>43</v>
      </c>
      <c r="E8" t="s">
        <v>44</v>
      </c>
      <c r="F8" s="15">
        <v>36374</v>
      </c>
      <c r="G8">
        <v>20.5</v>
      </c>
      <c r="H8">
        <v>32</v>
      </c>
      <c r="I8" s="1">
        <v>656</v>
      </c>
    </row>
    <row r="9" spans="1:9" x14ac:dyDescent="0.25">
      <c r="A9">
        <v>30</v>
      </c>
      <c r="B9" t="s">
        <v>86</v>
      </c>
      <c r="C9" t="s">
        <v>87</v>
      </c>
      <c r="D9" t="s">
        <v>33</v>
      </c>
      <c r="E9" t="s">
        <v>44</v>
      </c>
      <c r="F9" s="15">
        <v>33837</v>
      </c>
      <c r="G9">
        <v>36.5</v>
      </c>
      <c r="H9">
        <v>40</v>
      </c>
      <c r="I9" s="1">
        <v>1460</v>
      </c>
    </row>
    <row r="10" spans="1:9" x14ac:dyDescent="0.25">
      <c r="A10">
        <v>34</v>
      </c>
      <c r="B10" t="s">
        <v>88</v>
      </c>
      <c r="C10" t="s">
        <v>77</v>
      </c>
      <c r="D10" t="s">
        <v>89</v>
      </c>
      <c r="E10" t="s">
        <v>44</v>
      </c>
      <c r="F10" s="15">
        <v>35372</v>
      </c>
      <c r="G10">
        <v>34.5</v>
      </c>
      <c r="H10">
        <v>40</v>
      </c>
      <c r="I10" s="1">
        <v>1380</v>
      </c>
    </row>
    <row r="11" spans="1:9" x14ac:dyDescent="0.25">
      <c r="A11">
        <v>38</v>
      </c>
      <c r="B11" t="s">
        <v>93</v>
      </c>
      <c r="C11" t="s">
        <v>94</v>
      </c>
      <c r="D11" t="s">
        <v>85</v>
      </c>
      <c r="E11" t="s">
        <v>44</v>
      </c>
      <c r="F11" s="15">
        <v>33404</v>
      </c>
      <c r="G11">
        <v>30.5</v>
      </c>
      <c r="H11">
        <v>38</v>
      </c>
      <c r="I11" s="1">
        <v>1159</v>
      </c>
    </row>
    <row r="12" spans="1:9" x14ac:dyDescent="0.25">
      <c r="A12">
        <v>42</v>
      </c>
      <c r="B12" t="s">
        <v>73</v>
      </c>
      <c r="C12" t="s">
        <v>74</v>
      </c>
      <c r="D12" t="s">
        <v>75</v>
      </c>
      <c r="E12" t="s">
        <v>44</v>
      </c>
      <c r="F12" s="15">
        <v>32883</v>
      </c>
      <c r="G12">
        <v>45</v>
      </c>
      <c r="H12">
        <v>40</v>
      </c>
      <c r="I12" s="1">
        <v>1800</v>
      </c>
    </row>
    <row r="13" spans="1:9" x14ac:dyDescent="0.25">
      <c r="A13">
        <v>46</v>
      </c>
      <c r="B13" t="s">
        <v>106</v>
      </c>
      <c r="C13" t="s">
        <v>107</v>
      </c>
      <c r="D13" t="s">
        <v>80</v>
      </c>
      <c r="E13" t="s">
        <v>44</v>
      </c>
      <c r="F13" s="15">
        <v>35427</v>
      </c>
      <c r="G13">
        <v>20.5</v>
      </c>
      <c r="H13">
        <v>32</v>
      </c>
      <c r="I13" s="1">
        <v>656</v>
      </c>
    </row>
    <row r="14" spans="1:9" x14ac:dyDescent="0.25">
      <c r="A14">
        <v>50</v>
      </c>
      <c r="B14" t="s">
        <v>81</v>
      </c>
      <c r="C14" t="s">
        <v>82</v>
      </c>
      <c r="D14" t="s">
        <v>30</v>
      </c>
      <c r="E14" t="s">
        <v>44</v>
      </c>
      <c r="F14" s="15">
        <v>34610</v>
      </c>
      <c r="G14">
        <v>36.5</v>
      </c>
      <c r="H14">
        <v>40</v>
      </c>
      <c r="I14" s="1">
        <v>1460</v>
      </c>
    </row>
    <row r="15" spans="1:9" x14ac:dyDescent="0.25">
      <c r="A15">
        <v>54</v>
      </c>
      <c r="B15" t="s">
        <v>41</v>
      </c>
      <c r="C15" t="s">
        <v>42</v>
      </c>
      <c r="D15" t="s">
        <v>43</v>
      </c>
      <c r="E15" t="s">
        <v>44</v>
      </c>
      <c r="F15" s="15">
        <v>34615</v>
      </c>
      <c r="G15">
        <v>36.5</v>
      </c>
      <c r="H15">
        <v>40</v>
      </c>
      <c r="I15" s="1">
        <v>1460</v>
      </c>
    </row>
    <row r="16" spans="1:9" x14ac:dyDescent="0.25">
      <c r="A16">
        <v>58</v>
      </c>
      <c r="B16" t="s">
        <v>95</v>
      </c>
      <c r="C16" t="s">
        <v>96</v>
      </c>
      <c r="D16" t="s">
        <v>33</v>
      </c>
      <c r="E16" t="s">
        <v>44</v>
      </c>
      <c r="F16" s="15">
        <v>35755</v>
      </c>
      <c r="G16">
        <v>27.6</v>
      </c>
      <c r="H16">
        <v>40</v>
      </c>
      <c r="I16" s="1">
        <v>1104</v>
      </c>
    </row>
    <row r="17" spans="1:9" x14ac:dyDescent="0.25">
      <c r="A17">
        <v>62</v>
      </c>
      <c r="B17" t="s">
        <v>108</v>
      </c>
      <c r="C17" t="s">
        <v>109</v>
      </c>
      <c r="D17" t="s">
        <v>89</v>
      </c>
      <c r="E17" t="s">
        <v>44</v>
      </c>
      <c r="F17" s="15">
        <v>35545</v>
      </c>
      <c r="G17">
        <v>21.5</v>
      </c>
      <c r="H17">
        <v>15.5</v>
      </c>
      <c r="I17" s="1">
        <v>333.25</v>
      </c>
    </row>
    <row r="18" spans="1:9" x14ac:dyDescent="0.25">
      <c r="A18">
        <v>66</v>
      </c>
      <c r="B18" t="s">
        <v>101</v>
      </c>
      <c r="C18" t="s">
        <v>102</v>
      </c>
      <c r="D18" t="s">
        <v>85</v>
      </c>
      <c r="E18" t="s">
        <v>44</v>
      </c>
      <c r="F18" s="15">
        <v>33688</v>
      </c>
      <c r="G18">
        <v>28.3</v>
      </c>
      <c r="H18">
        <v>35.5</v>
      </c>
      <c r="I18" s="1">
        <v>1004.65</v>
      </c>
    </row>
    <row r="19" spans="1:9" x14ac:dyDescent="0.25">
      <c r="A19">
        <v>70</v>
      </c>
      <c r="B19" t="s">
        <v>76</v>
      </c>
      <c r="C19" t="s">
        <v>77</v>
      </c>
      <c r="D19" t="s">
        <v>75</v>
      </c>
      <c r="E19" t="s">
        <v>44</v>
      </c>
      <c r="F19" s="15">
        <v>35759</v>
      </c>
      <c r="G19">
        <v>39</v>
      </c>
      <c r="H19">
        <v>42</v>
      </c>
      <c r="I19" s="1">
        <v>1638</v>
      </c>
    </row>
    <row r="20" spans="1:9" x14ac:dyDescent="0.25">
      <c r="A20">
        <v>74</v>
      </c>
      <c r="B20" t="s">
        <v>97</v>
      </c>
      <c r="C20" t="s">
        <v>98</v>
      </c>
      <c r="D20" t="s">
        <v>80</v>
      </c>
      <c r="E20" t="s">
        <v>44</v>
      </c>
      <c r="F20" s="15">
        <v>32919</v>
      </c>
      <c r="G20">
        <v>27.1</v>
      </c>
      <c r="H20">
        <v>40</v>
      </c>
      <c r="I20" s="1">
        <v>1084</v>
      </c>
    </row>
    <row r="21" spans="1:9" x14ac:dyDescent="0.25">
      <c r="A21">
        <v>78</v>
      </c>
      <c r="B21" t="s">
        <v>71</v>
      </c>
      <c r="C21" t="s">
        <v>72</v>
      </c>
      <c r="D21" t="s">
        <v>30</v>
      </c>
      <c r="E21" t="s">
        <v>44</v>
      </c>
      <c r="F21" s="15">
        <v>36221</v>
      </c>
      <c r="G21">
        <v>48</v>
      </c>
      <c r="H21">
        <v>40</v>
      </c>
      <c r="I21" s="1">
        <v>1920</v>
      </c>
    </row>
    <row r="22" spans="1:9" x14ac:dyDescent="0.25">
      <c r="A22">
        <v>82</v>
      </c>
      <c r="B22" t="s">
        <v>45</v>
      </c>
      <c r="C22" t="s">
        <v>46</v>
      </c>
      <c r="D22" t="s">
        <v>43</v>
      </c>
      <c r="E22" t="s">
        <v>44</v>
      </c>
      <c r="F22" s="15">
        <v>35451</v>
      </c>
      <c r="G22">
        <v>30</v>
      </c>
      <c r="H22">
        <v>29.5</v>
      </c>
      <c r="I22" s="1">
        <v>885</v>
      </c>
    </row>
    <row r="23" spans="1:9" x14ac:dyDescent="0.25">
      <c r="A23">
        <v>86</v>
      </c>
      <c r="B23" t="s">
        <v>92</v>
      </c>
      <c r="C23" t="s">
        <v>77</v>
      </c>
      <c r="D23" t="s">
        <v>33</v>
      </c>
      <c r="E23" t="s">
        <v>44</v>
      </c>
      <c r="F23" s="15">
        <v>34610</v>
      </c>
      <c r="G23">
        <v>30</v>
      </c>
      <c r="H23">
        <v>40</v>
      </c>
      <c r="I23" s="1">
        <v>1200</v>
      </c>
    </row>
    <row r="24" spans="1:9" x14ac:dyDescent="0.25">
      <c r="A24">
        <v>90</v>
      </c>
      <c r="B24" t="s">
        <v>112</v>
      </c>
      <c r="C24" t="s">
        <v>113</v>
      </c>
      <c r="D24" t="s">
        <v>89</v>
      </c>
      <c r="E24" t="s">
        <v>44</v>
      </c>
      <c r="F24" s="15">
        <v>34758</v>
      </c>
      <c r="G24">
        <v>20.5</v>
      </c>
      <c r="H24">
        <v>15.5</v>
      </c>
      <c r="I24" s="1">
        <v>317.75</v>
      </c>
    </row>
    <row r="25" spans="1:9" x14ac:dyDescent="0.25">
      <c r="A25">
        <v>94</v>
      </c>
      <c r="B25" t="s">
        <v>110</v>
      </c>
      <c r="C25" t="s">
        <v>111</v>
      </c>
      <c r="D25" t="s">
        <v>85</v>
      </c>
      <c r="E25" t="s">
        <v>44</v>
      </c>
      <c r="F25" s="15">
        <v>36037</v>
      </c>
      <c r="G25">
        <v>21.5</v>
      </c>
      <c r="H25">
        <v>15.5</v>
      </c>
      <c r="I25" s="1">
        <v>333.25</v>
      </c>
    </row>
    <row r="26" spans="1:9" x14ac:dyDescent="0.25">
      <c r="F26" s="15"/>
      <c r="I26" s="1"/>
    </row>
    <row r="27" spans="1:9" x14ac:dyDescent="0.25">
      <c r="F27" s="15"/>
      <c r="I27" s="1"/>
    </row>
    <row r="28" spans="1:9" x14ac:dyDescent="0.25">
      <c r="F28" s="15"/>
      <c r="I28" s="1"/>
    </row>
    <row r="29" spans="1:9" x14ac:dyDescent="0.25">
      <c r="F29" s="15"/>
      <c r="I29" s="1"/>
    </row>
    <row r="30" spans="1:9" x14ac:dyDescent="0.25">
      <c r="F30" s="15"/>
      <c r="I30" s="1"/>
    </row>
    <row r="31" spans="1:9" x14ac:dyDescent="0.25">
      <c r="F31" s="15"/>
      <c r="I31" s="1"/>
    </row>
    <row r="32" spans="1:9" x14ac:dyDescent="0.25">
      <c r="F32" s="15"/>
      <c r="I32" s="1"/>
    </row>
    <row r="33" spans="6:9" x14ac:dyDescent="0.25">
      <c r="F33" s="15"/>
      <c r="I33" s="1"/>
    </row>
    <row r="34" spans="6:9" x14ac:dyDescent="0.25">
      <c r="F34" s="15"/>
      <c r="I34" s="1"/>
    </row>
    <row r="35" spans="6:9" x14ac:dyDescent="0.25">
      <c r="F35" s="15"/>
      <c r="I35" s="1"/>
    </row>
    <row r="36" spans="6:9" x14ac:dyDescent="0.25">
      <c r="F36" s="15"/>
      <c r="I36" s="1"/>
    </row>
    <row r="37" spans="6:9" x14ac:dyDescent="0.25">
      <c r="F37" s="15"/>
      <c r="I37" s="1"/>
    </row>
    <row r="38" spans="6:9" x14ac:dyDescent="0.25">
      <c r="F38" s="15"/>
      <c r="I38" s="1"/>
    </row>
    <row r="39" spans="6:9" x14ac:dyDescent="0.25">
      <c r="F39" s="15"/>
      <c r="I39" s="1"/>
    </row>
    <row r="40" spans="6:9" x14ac:dyDescent="0.25">
      <c r="F40" s="15"/>
      <c r="I40" s="1"/>
    </row>
    <row r="41" spans="6:9" x14ac:dyDescent="0.25">
      <c r="F41" s="15"/>
      <c r="I41" s="1"/>
    </row>
    <row r="42" spans="6:9" x14ac:dyDescent="0.25">
      <c r="F42" s="15"/>
      <c r="I42" s="1"/>
    </row>
    <row r="43" spans="6:9" x14ac:dyDescent="0.25">
      <c r="F43" s="15"/>
      <c r="I43" s="1"/>
    </row>
    <row r="44" spans="6:9" x14ac:dyDescent="0.25">
      <c r="F44" s="15"/>
      <c r="I44" s="1"/>
    </row>
    <row r="45" spans="6:9" x14ac:dyDescent="0.25">
      <c r="F45" s="15"/>
      <c r="I45" s="1"/>
    </row>
    <row r="46" spans="6:9" x14ac:dyDescent="0.25">
      <c r="F46" s="15"/>
      <c r="I46" s="1"/>
    </row>
    <row r="47" spans="6:9" x14ac:dyDescent="0.25">
      <c r="F47" s="15"/>
      <c r="I47" s="1"/>
    </row>
    <row r="48" spans="6:9" x14ac:dyDescent="0.25">
      <c r="F48" s="15"/>
      <c r="I48" s="1"/>
    </row>
    <row r="49" spans="6:9" x14ac:dyDescent="0.25">
      <c r="F49" s="15"/>
      <c r="I49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6D3B5-DF3C-49D5-A2C5-BFD1114D918A}">
  <sheetPr codeName="Sheet10"/>
  <dimension ref="A1:I47"/>
  <sheetViews>
    <sheetView workbookViewId="0">
      <selection activeCell="A2" sqref="A2:I24"/>
    </sheetView>
  </sheetViews>
  <sheetFormatPr defaultRowHeight="15" x14ac:dyDescent="0.25"/>
  <cols>
    <col min="1" max="1" width="5.7109375" bestFit="1" customWidth="1"/>
    <col min="2" max="2" width="9.42578125" bestFit="1" customWidth="1"/>
    <col min="3" max="3" width="10.7109375" bestFit="1" customWidth="1"/>
    <col min="4" max="4" width="7.85546875" bestFit="1" customWidth="1"/>
    <col min="5" max="5" width="7.140625" bestFit="1" customWidth="1"/>
    <col min="6" max="6" width="12.28515625" bestFit="1" customWidth="1"/>
    <col min="7" max="7" width="13.28515625" bestFit="1" customWidth="1"/>
    <col min="8" max="8" width="5" bestFit="1" customWidth="1"/>
    <col min="9" max="9" width="11.85546875" bestFit="1" customWidth="1"/>
  </cols>
  <sheetData>
    <row r="1" spans="1:9" x14ac:dyDescent="0.25">
      <c r="A1" s="7" t="s">
        <v>34</v>
      </c>
      <c r="B1" s="7" t="s">
        <v>35</v>
      </c>
      <c r="C1" s="7" t="s">
        <v>36</v>
      </c>
      <c r="D1" s="7" t="s">
        <v>23</v>
      </c>
      <c r="E1" s="7" t="s">
        <v>24</v>
      </c>
      <c r="F1" s="21" t="s">
        <v>37</v>
      </c>
      <c r="G1" s="7" t="s">
        <v>38</v>
      </c>
      <c r="H1" s="7" t="s">
        <v>39</v>
      </c>
      <c r="I1" s="20" t="s">
        <v>40</v>
      </c>
    </row>
    <row r="2" spans="1:9" x14ac:dyDescent="0.25">
      <c r="A2">
        <v>3</v>
      </c>
      <c r="B2" t="s">
        <v>155</v>
      </c>
      <c r="C2" t="s">
        <v>53</v>
      </c>
      <c r="D2" t="s">
        <v>85</v>
      </c>
      <c r="E2" t="s">
        <v>31</v>
      </c>
      <c r="F2" s="15">
        <v>36000</v>
      </c>
      <c r="G2">
        <v>31.75</v>
      </c>
      <c r="H2">
        <v>42</v>
      </c>
      <c r="I2" s="1">
        <v>1333.5</v>
      </c>
    </row>
    <row r="3" spans="1:9" x14ac:dyDescent="0.25">
      <c r="A3">
        <v>7</v>
      </c>
      <c r="B3" t="s">
        <v>71</v>
      </c>
      <c r="C3" t="s">
        <v>185</v>
      </c>
      <c r="D3" t="s">
        <v>75</v>
      </c>
      <c r="E3" t="s">
        <v>31</v>
      </c>
      <c r="F3" s="15">
        <v>35485</v>
      </c>
      <c r="G3">
        <v>27.1</v>
      </c>
      <c r="H3">
        <v>35</v>
      </c>
      <c r="I3" s="1">
        <v>948.5</v>
      </c>
    </row>
    <row r="4" spans="1:9" x14ac:dyDescent="0.25">
      <c r="A4">
        <v>11</v>
      </c>
      <c r="B4" t="s">
        <v>172</v>
      </c>
      <c r="C4" t="s">
        <v>173</v>
      </c>
      <c r="D4" t="s">
        <v>80</v>
      </c>
      <c r="E4" t="s">
        <v>31</v>
      </c>
      <c r="F4" s="15">
        <v>33822</v>
      </c>
      <c r="G4">
        <v>28.3</v>
      </c>
      <c r="H4">
        <v>35.5</v>
      </c>
      <c r="I4" s="1">
        <v>1004.65</v>
      </c>
    </row>
    <row r="5" spans="1:9" x14ac:dyDescent="0.25">
      <c r="A5">
        <v>15</v>
      </c>
      <c r="B5" t="s">
        <v>130</v>
      </c>
      <c r="C5" t="s">
        <v>169</v>
      </c>
      <c r="D5" t="s">
        <v>30</v>
      </c>
      <c r="E5" t="s">
        <v>31</v>
      </c>
      <c r="F5" s="15">
        <v>34858</v>
      </c>
      <c r="G5">
        <v>27.6</v>
      </c>
      <c r="H5">
        <v>40</v>
      </c>
      <c r="I5" s="1">
        <v>1104</v>
      </c>
    </row>
    <row r="6" spans="1:9" x14ac:dyDescent="0.25">
      <c r="A6">
        <v>19</v>
      </c>
      <c r="B6" t="s">
        <v>55</v>
      </c>
      <c r="C6" t="s">
        <v>56</v>
      </c>
      <c r="D6" t="s">
        <v>43</v>
      </c>
      <c r="E6" t="s">
        <v>31</v>
      </c>
      <c r="F6" s="15">
        <v>34871</v>
      </c>
      <c r="G6">
        <v>30</v>
      </c>
      <c r="H6">
        <v>40</v>
      </c>
      <c r="I6" s="1">
        <v>1200</v>
      </c>
    </row>
    <row r="7" spans="1:9" x14ac:dyDescent="0.25">
      <c r="A7">
        <v>23</v>
      </c>
      <c r="B7" t="s">
        <v>114</v>
      </c>
      <c r="C7" t="s">
        <v>115</v>
      </c>
      <c r="D7" t="s">
        <v>33</v>
      </c>
      <c r="E7" t="s">
        <v>31</v>
      </c>
      <c r="F7" s="15">
        <v>32573</v>
      </c>
      <c r="G7">
        <v>60</v>
      </c>
      <c r="H7">
        <v>40</v>
      </c>
      <c r="I7" s="1">
        <v>2400</v>
      </c>
    </row>
    <row r="8" spans="1:9" x14ac:dyDescent="0.25">
      <c r="A8">
        <v>27</v>
      </c>
      <c r="B8" t="s">
        <v>148</v>
      </c>
      <c r="C8" t="s">
        <v>149</v>
      </c>
      <c r="D8" t="s">
        <v>89</v>
      </c>
      <c r="E8" t="s">
        <v>31</v>
      </c>
      <c r="F8" s="15">
        <v>34279</v>
      </c>
      <c r="G8">
        <v>34.5</v>
      </c>
      <c r="H8">
        <v>40</v>
      </c>
      <c r="I8" s="1">
        <v>1380</v>
      </c>
    </row>
    <row r="9" spans="1:9" x14ac:dyDescent="0.25">
      <c r="A9">
        <v>31</v>
      </c>
      <c r="B9" t="s">
        <v>209</v>
      </c>
      <c r="C9" t="s">
        <v>210</v>
      </c>
      <c r="D9" t="s">
        <v>85</v>
      </c>
      <c r="E9" t="s">
        <v>31</v>
      </c>
      <c r="F9" s="15">
        <v>35775</v>
      </c>
      <c r="G9">
        <v>23.52</v>
      </c>
      <c r="H9">
        <v>25</v>
      </c>
      <c r="I9" s="1">
        <v>588</v>
      </c>
    </row>
    <row r="10" spans="1:9" x14ac:dyDescent="0.25">
      <c r="A10">
        <v>35</v>
      </c>
      <c r="B10" t="s">
        <v>124</v>
      </c>
      <c r="C10" t="s">
        <v>125</v>
      </c>
      <c r="D10" t="s">
        <v>75</v>
      </c>
      <c r="E10" t="s">
        <v>31</v>
      </c>
      <c r="F10" s="15">
        <v>35026</v>
      </c>
      <c r="G10">
        <v>55</v>
      </c>
      <c r="H10">
        <v>35.5</v>
      </c>
      <c r="I10" s="1">
        <v>1952.5</v>
      </c>
    </row>
    <row r="11" spans="1:9" x14ac:dyDescent="0.25">
      <c r="A11">
        <v>39</v>
      </c>
      <c r="B11" t="s">
        <v>140</v>
      </c>
      <c r="C11" t="s">
        <v>141</v>
      </c>
      <c r="D11" t="s">
        <v>80</v>
      </c>
      <c r="E11" t="s">
        <v>31</v>
      </c>
      <c r="F11" s="15">
        <v>35655</v>
      </c>
      <c r="G11">
        <v>37</v>
      </c>
      <c r="H11">
        <v>40</v>
      </c>
      <c r="I11" s="1">
        <v>1480</v>
      </c>
    </row>
    <row r="12" spans="1:9" x14ac:dyDescent="0.25">
      <c r="A12">
        <v>43</v>
      </c>
      <c r="B12" t="s">
        <v>108</v>
      </c>
      <c r="C12" t="s">
        <v>150</v>
      </c>
      <c r="D12" t="s">
        <v>30</v>
      </c>
      <c r="E12" t="s">
        <v>31</v>
      </c>
      <c r="F12" s="15">
        <v>34414</v>
      </c>
      <c r="G12">
        <v>39</v>
      </c>
      <c r="H12">
        <v>35</v>
      </c>
      <c r="I12" s="1">
        <v>1365</v>
      </c>
    </row>
    <row r="13" spans="1:9" x14ac:dyDescent="0.25">
      <c r="A13">
        <v>47</v>
      </c>
      <c r="B13" t="s">
        <v>69</v>
      </c>
      <c r="C13" t="s">
        <v>70</v>
      </c>
      <c r="D13" t="s">
        <v>43</v>
      </c>
      <c r="E13" t="s">
        <v>31</v>
      </c>
      <c r="F13" s="15">
        <v>34428</v>
      </c>
      <c r="G13">
        <v>23.52</v>
      </c>
      <c r="H13">
        <v>25</v>
      </c>
      <c r="I13" s="1">
        <v>588</v>
      </c>
    </row>
    <row r="14" spans="1:9" x14ac:dyDescent="0.25">
      <c r="A14">
        <v>51</v>
      </c>
      <c r="B14" t="s">
        <v>167</v>
      </c>
      <c r="C14" t="s">
        <v>168</v>
      </c>
      <c r="D14" t="s">
        <v>33</v>
      </c>
      <c r="E14" t="s">
        <v>31</v>
      </c>
      <c r="F14" s="15">
        <v>33704</v>
      </c>
      <c r="G14">
        <v>30.5</v>
      </c>
      <c r="H14">
        <v>38</v>
      </c>
      <c r="I14" s="1">
        <v>1159</v>
      </c>
    </row>
    <row r="15" spans="1:9" x14ac:dyDescent="0.25">
      <c r="A15">
        <v>55</v>
      </c>
      <c r="B15" t="s">
        <v>211</v>
      </c>
      <c r="C15" t="s">
        <v>212</v>
      </c>
      <c r="D15" t="s">
        <v>89</v>
      </c>
      <c r="E15" t="s">
        <v>31</v>
      </c>
      <c r="F15" s="15">
        <v>35221</v>
      </c>
      <c r="G15">
        <v>23.52</v>
      </c>
      <c r="H15">
        <v>25</v>
      </c>
      <c r="I15" s="1">
        <v>588</v>
      </c>
    </row>
    <row r="16" spans="1:9" x14ac:dyDescent="0.25">
      <c r="A16">
        <v>59</v>
      </c>
      <c r="B16" t="s">
        <v>128</v>
      </c>
      <c r="C16" t="s">
        <v>53</v>
      </c>
      <c r="D16" t="s">
        <v>85</v>
      </c>
      <c r="E16" t="s">
        <v>31</v>
      </c>
      <c r="F16" s="15">
        <v>34709</v>
      </c>
      <c r="G16">
        <v>45</v>
      </c>
      <c r="H16">
        <v>42</v>
      </c>
      <c r="I16" s="1">
        <v>1890</v>
      </c>
    </row>
    <row r="17" spans="1:9" x14ac:dyDescent="0.25">
      <c r="A17">
        <v>63</v>
      </c>
      <c r="B17" t="s">
        <v>162</v>
      </c>
      <c r="C17" t="s">
        <v>163</v>
      </c>
      <c r="D17" t="s">
        <v>75</v>
      </c>
      <c r="E17" t="s">
        <v>31</v>
      </c>
      <c r="F17" s="15">
        <v>33059</v>
      </c>
      <c r="G17">
        <v>30.5</v>
      </c>
      <c r="H17">
        <v>40</v>
      </c>
      <c r="I17" s="1">
        <v>1220</v>
      </c>
    </row>
    <row r="18" spans="1:9" x14ac:dyDescent="0.25">
      <c r="A18">
        <v>67</v>
      </c>
      <c r="B18" t="s">
        <v>206</v>
      </c>
      <c r="C18" t="s">
        <v>207</v>
      </c>
      <c r="D18" t="s">
        <v>80</v>
      </c>
      <c r="E18" t="s">
        <v>31</v>
      </c>
      <c r="F18" s="15">
        <v>35038</v>
      </c>
      <c r="G18">
        <v>21.5</v>
      </c>
      <c r="H18">
        <v>29.5</v>
      </c>
      <c r="I18" s="1">
        <v>634.25</v>
      </c>
    </row>
    <row r="19" spans="1:9" x14ac:dyDescent="0.25">
      <c r="A19">
        <v>71</v>
      </c>
      <c r="B19" t="s">
        <v>199</v>
      </c>
      <c r="C19" t="s">
        <v>200</v>
      </c>
      <c r="D19" t="s">
        <v>30</v>
      </c>
      <c r="E19" t="s">
        <v>31</v>
      </c>
      <c r="F19" s="15">
        <v>36312</v>
      </c>
      <c r="G19">
        <v>28.3</v>
      </c>
      <c r="H19">
        <v>29.5</v>
      </c>
      <c r="I19" s="1">
        <v>834.85</v>
      </c>
    </row>
    <row r="20" spans="1:9" x14ac:dyDescent="0.25">
      <c r="A20">
        <v>75</v>
      </c>
      <c r="B20" t="s">
        <v>61</v>
      </c>
      <c r="C20" t="s">
        <v>62</v>
      </c>
      <c r="D20" t="s">
        <v>43</v>
      </c>
      <c r="E20" t="s">
        <v>31</v>
      </c>
      <c r="F20" s="15">
        <v>33831</v>
      </c>
      <c r="G20">
        <v>31.75</v>
      </c>
      <c r="H20">
        <v>29.5</v>
      </c>
      <c r="I20" s="1">
        <v>936.625</v>
      </c>
    </row>
    <row r="21" spans="1:9" x14ac:dyDescent="0.25">
      <c r="A21">
        <v>79</v>
      </c>
      <c r="B21" t="s">
        <v>164</v>
      </c>
      <c r="C21" t="s">
        <v>165</v>
      </c>
      <c r="D21" t="s">
        <v>33</v>
      </c>
      <c r="E21" t="s">
        <v>31</v>
      </c>
      <c r="F21" s="15">
        <v>34171</v>
      </c>
      <c r="G21">
        <v>30</v>
      </c>
      <c r="H21">
        <v>40</v>
      </c>
      <c r="I21" s="1">
        <v>1200</v>
      </c>
    </row>
    <row r="22" spans="1:9" x14ac:dyDescent="0.25">
      <c r="A22">
        <v>83</v>
      </c>
      <c r="B22" t="s">
        <v>213</v>
      </c>
      <c r="C22" t="s">
        <v>214</v>
      </c>
      <c r="D22" t="s">
        <v>89</v>
      </c>
      <c r="E22" t="s">
        <v>31</v>
      </c>
      <c r="F22" s="15">
        <v>32568</v>
      </c>
      <c r="G22">
        <v>27.6</v>
      </c>
      <c r="H22">
        <v>15.5</v>
      </c>
      <c r="I22" s="1">
        <v>427.8</v>
      </c>
    </row>
    <row r="23" spans="1:9" x14ac:dyDescent="0.25">
      <c r="A23">
        <v>87</v>
      </c>
      <c r="B23" t="s">
        <v>116</v>
      </c>
      <c r="C23" t="s">
        <v>117</v>
      </c>
      <c r="D23" t="s">
        <v>85</v>
      </c>
      <c r="E23" t="s">
        <v>31</v>
      </c>
      <c r="F23" s="15">
        <v>35739</v>
      </c>
      <c r="G23">
        <v>60</v>
      </c>
      <c r="H23">
        <v>35</v>
      </c>
      <c r="I23" s="1">
        <v>2100</v>
      </c>
    </row>
    <row r="24" spans="1:9" x14ac:dyDescent="0.25">
      <c r="A24">
        <v>91</v>
      </c>
      <c r="B24" t="s">
        <v>57</v>
      </c>
      <c r="C24" t="s">
        <v>158</v>
      </c>
      <c r="D24" t="s">
        <v>75</v>
      </c>
      <c r="E24" t="s">
        <v>31</v>
      </c>
      <c r="F24" s="15">
        <v>35055</v>
      </c>
      <c r="G24">
        <v>31.75</v>
      </c>
      <c r="H24">
        <v>40</v>
      </c>
      <c r="I24" s="1">
        <v>1270</v>
      </c>
    </row>
    <row r="25" spans="1:9" x14ac:dyDescent="0.25">
      <c r="F25" s="15"/>
      <c r="I25" s="1"/>
    </row>
    <row r="26" spans="1:9" x14ac:dyDescent="0.25">
      <c r="F26" s="15"/>
      <c r="I26" s="1"/>
    </row>
    <row r="27" spans="1:9" x14ac:dyDescent="0.25">
      <c r="F27" s="15"/>
      <c r="I27" s="1"/>
    </row>
    <row r="28" spans="1:9" x14ac:dyDescent="0.25">
      <c r="F28" s="15"/>
      <c r="I28" s="1"/>
    </row>
    <row r="29" spans="1:9" x14ac:dyDescent="0.25">
      <c r="F29" s="15"/>
      <c r="I29" s="1"/>
    </row>
    <row r="30" spans="1:9" x14ac:dyDescent="0.25">
      <c r="F30" s="15"/>
      <c r="I30" s="1"/>
    </row>
    <row r="31" spans="1:9" x14ac:dyDescent="0.25">
      <c r="F31" s="15"/>
      <c r="I31" s="1"/>
    </row>
    <row r="32" spans="1:9" x14ac:dyDescent="0.25">
      <c r="F32" s="15"/>
      <c r="I32" s="1"/>
    </row>
    <row r="33" spans="6:9" x14ac:dyDescent="0.25">
      <c r="F33" s="15"/>
      <c r="I33" s="1"/>
    </row>
    <row r="34" spans="6:9" x14ac:dyDescent="0.25">
      <c r="F34" s="15"/>
      <c r="I34" s="1"/>
    </row>
    <row r="35" spans="6:9" x14ac:dyDescent="0.25">
      <c r="F35" s="15"/>
      <c r="I35" s="1"/>
    </row>
    <row r="36" spans="6:9" x14ac:dyDescent="0.25">
      <c r="F36" s="15"/>
      <c r="I36" s="1"/>
    </row>
    <row r="37" spans="6:9" x14ac:dyDescent="0.25">
      <c r="F37" s="15"/>
      <c r="I37" s="1"/>
    </row>
    <row r="38" spans="6:9" x14ac:dyDescent="0.25">
      <c r="F38" s="15"/>
      <c r="I38" s="1"/>
    </row>
    <row r="39" spans="6:9" x14ac:dyDescent="0.25">
      <c r="F39" s="15"/>
      <c r="I39" s="1"/>
    </row>
    <row r="40" spans="6:9" x14ac:dyDescent="0.25">
      <c r="F40" s="15"/>
      <c r="I40" s="1"/>
    </row>
    <row r="41" spans="6:9" x14ac:dyDescent="0.25">
      <c r="F41" s="15"/>
      <c r="I41" s="1"/>
    </row>
    <row r="42" spans="6:9" x14ac:dyDescent="0.25">
      <c r="F42" s="15"/>
      <c r="I42" s="1"/>
    </row>
    <row r="43" spans="6:9" x14ac:dyDescent="0.25">
      <c r="F43" s="15"/>
      <c r="I43" s="1"/>
    </row>
    <row r="44" spans="6:9" x14ac:dyDescent="0.25">
      <c r="F44" s="15"/>
      <c r="I44" s="1"/>
    </row>
    <row r="45" spans="6:9" x14ac:dyDescent="0.25">
      <c r="F45" s="15"/>
      <c r="I45" s="1"/>
    </row>
    <row r="46" spans="6:9" x14ac:dyDescent="0.25">
      <c r="F46" s="15"/>
      <c r="I46" s="1"/>
    </row>
    <row r="47" spans="6:9" x14ac:dyDescent="0.25">
      <c r="F47" s="15"/>
      <c r="I47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3014F-4370-4832-B6DA-9D84A1F14F2E}">
  <sheetPr codeName="Sheet12"/>
  <dimension ref="A1:I47"/>
  <sheetViews>
    <sheetView workbookViewId="0">
      <selection activeCell="A2" sqref="A2:I24"/>
    </sheetView>
  </sheetViews>
  <sheetFormatPr defaultRowHeight="15" x14ac:dyDescent="0.25"/>
  <cols>
    <col min="1" max="1" width="5.7109375" bestFit="1" customWidth="1"/>
    <col min="2" max="2" width="12.28515625" bestFit="1" customWidth="1"/>
    <col min="3" max="3" width="10.140625" bestFit="1" customWidth="1"/>
    <col min="4" max="4" width="7.85546875" bestFit="1" customWidth="1"/>
    <col min="5" max="5" width="7.140625" bestFit="1" customWidth="1"/>
    <col min="6" max="6" width="12.28515625" bestFit="1" customWidth="1"/>
    <col min="7" max="7" width="13.28515625" bestFit="1" customWidth="1"/>
    <col min="8" max="8" width="5" bestFit="1" customWidth="1"/>
    <col min="9" max="9" width="11.85546875" bestFit="1" customWidth="1"/>
  </cols>
  <sheetData>
    <row r="1" spans="1:9" x14ac:dyDescent="0.25">
      <c r="A1" s="7" t="s">
        <v>34</v>
      </c>
      <c r="B1" s="7" t="s">
        <v>35</v>
      </c>
      <c r="C1" s="7" t="s">
        <v>36</v>
      </c>
      <c r="D1" s="7" t="s">
        <v>23</v>
      </c>
      <c r="E1" s="7" t="s">
        <v>24</v>
      </c>
      <c r="F1" s="21" t="s">
        <v>37</v>
      </c>
      <c r="G1" s="7" t="s">
        <v>38</v>
      </c>
      <c r="H1" s="7" t="s">
        <v>39</v>
      </c>
      <c r="I1" s="20" t="s">
        <v>40</v>
      </c>
    </row>
    <row r="2" spans="1:9" x14ac:dyDescent="0.25">
      <c r="A2">
        <v>4</v>
      </c>
      <c r="B2" t="s">
        <v>178</v>
      </c>
      <c r="C2" t="s">
        <v>98</v>
      </c>
      <c r="D2" t="s">
        <v>80</v>
      </c>
      <c r="E2" t="s">
        <v>54</v>
      </c>
      <c r="F2" s="15">
        <v>35221</v>
      </c>
      <c r="G2">
        <v>23.75</v>
      </c>
      <c r="H2">
        <v>40</v>
      </c>
      <c r="I2" s="1">
        <v>950</v>
      </c>
    </row>
    <row r="3" spans="1:9" x14ac:dyDescent="0.25">
      <c r="A3">
        <v>8</v>
      </c>
      <c r="B3" t="s">
        <v>126</v>
      </c>
      <c r="C3" t="s">
        <v>127</v>
      </c>
      <c r="D3" t="s">
        <v>30</v>
      </c>
      <c r="E3" t="s">
        <v>54</v>
      </c>
      <c r="F3" s="15">
        <v>33341</v>
      </c>
      <c r="G3">
        <v>48</v>
      </c>
      <c r="H3">
        <v>40</v>
      </c>
      <c r="I3" s="1">
        <v>1920</v>
      </c>
    </row>
    <row r="4" spans="1:9" x14ac:dyDescent="0.25">
      <c r="A4">
        <v>12</v>
      </c>
      <c r="B4" t="s">
        <v>65</v>
      </c>
      <c r="C4" t="s">
        <v>66</v>
      </c>
      <c r="D4" t="s">
        <v>43</v>
      </c>
      <c r="E4" t="s">
        <v>54</v>
      </c>
      <c r="F4" s="15">
        <v>35888</v>
      </c>
      <c r="G4">
        <v>20.5</v>
      </c>
      <c r="H4">
        <v>32</v>
      </c>
      <c r="I4" s="1">
        <v>656</v>
      </c>
    </row>
    <row r="5" spans="1:9" x14ac:dyDescent="0.25">
      <c r="A5">
        <v>16</v>
      </c>
      <c r="B5" t="s">
        <v>122</v>
      </c>
      <c r="C5" t="s">
        <v>123</v>
      </c>
      <c r="D5" t="s">
        <v>33</v>
      </c>
      <c r="E5" t="s">
        <v>54</v>
      </c>
      <c r="F5" s="15">
        <v>34616</v>
      </c>
      <c r="G5">
        <v>55</v>
      </c>
      <c r="H5">
        <v>35.5</v>
      </c>
      <c r="I5" s="1">
        <v>1952.5</v>
      </c>
    </row>
    <row r="6" spans="1:9" x14ac:dyDescent="0.25">
      <c r="A6">
        <v>20</v>
      </c>
      <c r="B6" t="s">
        <v>167</v>
      </c>
      <c r="C6" t="s">
        <v>175</v>
      </c>
      <c r="D6" t="s">
        <v>89</v>
      </c>
      <c r="E6" t="s">
        <v>54</v>
      </c>
      <c r="F6" s="15">
        <v>34534</v>
      </c>
      <c r="G6">
        <v>27.5</v>
      </c>
      <c r="H6">
        <v>35.5</v>
      </c>
      <c r="I6" s="1">
        <v>976.25</v>
      </c>
    </row>
    <row r="7" spans="1:9" x14ac:dyDescent="0.25">
      <c r="A7">
        <v>24</v>
      </c>
      <c r="B7" t="s">
        <v>120</v>
      </c>
      <c r="C7" t="s">
        <v>121</v>
      </c>
      <c r="D7" t="s">
        <v>85</v>
      </c>
      <c r="E7" t="s">
        <v>54</v>
      </c>
      <c r="F7" s="15">
        <v>33700</v>
      </c>
      <c r="G7">
        <v>52</v>
      </c>
      <c r="H7">
        <v>40</v>
      </c>
      <c r="I7" s="1">
        <v>2080</v>
      </c>
    </row>
    <row r="8" spans="1:9" x14ac:dyDescent="0.25">
      <c r="A8">
        <v>28</v>
      </c>
      <c r="B8" t="s">
        <v>130</v>
      </c>
      <c r="C8" t="s">
        <v>131</v>
      </c>
      <c r="D8" t="s">
        <v>75</v>
      </c>
      <c r="E8" t="s">
        <v>54</v>
      </c>
      <c r="F8" s="15">
        <v>33497</v>
      </c>
      <c r="G8">
        <v>45</v>
      </c>
      <c r="H8">
        <v>40</v>
      </c>
      <c r="I8" s="1">
        <v>1800</v>
      </c>
    </row>
    <row r="9" spans="1:9" x14ac:dyDescent="0.25">
      <c r="A9">
        <v>32</v>
      </c>
      <c r="B9" t="s">
        <v>122</v>
      </c>
      <c r="C9" t="s">
        <v>53</v>
      </c>
      <c r="D9" t="s">
        <v>80</v>
      </c>
      <c r="E9" t="s">
        <v>54</v>
      </c>
      <c r="F9" s="15">
        <v>36194</v>
      </c>
      <c r="G9">
        <v>27.1</v>
      </c>
      <c r="H9">
        <v>35</v>
      </c>
      <c r="I9" s="1">
        <v>948.5</v>
      </c>
    </row>
    <row r="10" spans="1:9" x14ac:dyDescent="0.25">
      <c r="A10">
        <v>36</v>
      </c>
      <c r="B10" t="s">
        <v>176</v>
      </c>
      <c r="C10" t="s">
        <v>177</v>
      </c>
      <c r="D10" t="s">
        <v>30</v>
      </c>
      <c r="E10" t="s">
        <v>54</v>
      </c>
      <c r="F10" s="15">
        <v>34483</v>
      </c>
      <c r="G10">
        <v>23.75</v>
      </c>
      <c r="H10">
        <v>40</v>
      </c>
      <c r="I10" s="1">
        <v>950</v>
      </c>
    </row>
    <row r="11" spans="1:9" x14ac:dyDescent="0.25">
      <c r="A11">
        <v>40</v>
      </c>
      <c r="B11" t="s">
        <v>57</v>
      </c>
      <c r="C11" t="s">
        <v>58</v>
      </c>
      <c r="D11" t="s">
        <v>43</v>
      </c>
      <c r="E11" t="s">
        <v>54</v>
      </c>
      <c r="F11" s="15">
        <v>35005</v>
      </c>
      <c r="G11">
        <v>30.5</v>
      </c>
      <c r="H11">
        <v>38</v>
      </c>
      <c r="I11" s="1">
        <v>1159</v>
      </c>
    </row>
    <row r="12" spans="1:9" x14ac:dyDescent="0.25">
      <c r="A12">
        <v>44</v>
      </c>
      <c r="B12" t="s">
        <v>215</v>
      </c>
      <c r="C12" t="s">
        <v>216</v>
      </c>
      <c r="D12" t="s">
        <v>33</v>
      </c>
      <c r="E12" t="s">
        <v>54</v>
      </c>
      <c r="F12" s="15">
        <v>34671</v>
      </c>
      <c r="G12">
        <v>21.5</v>
      </c>
      <c r="H12">
        <v>15.5</v>
      </c>
      <c r="I12" s="1">
        <v>333.25</v>
      </c>
    </row>
    <row r="13" spans="1:9" x14ac:dyDescent="0.25">
      <c r="A13">
        <v>48</v>
      </c>
      <c r="B13" t="s">
        <v>118</v>
      </c>
      <c r="C13" t="s">
        <v>119</v>
      </c>
      <c r="D13" t="s">
        <v>89</v>
      </c>
      <c r="E13" t="s">
        <v>54</v>
      </c>
      <c r="F13" s="15">
        <v>34843</v>
      </c>
      <c r="G13">
        <v>55</v>
      </c>
      <c r="H13">
        <v>38</v>
      </c>
      <c r="I13" s="1">
        <v>2090</v>
      </c>
    </row>
    <row r="14" spans="1:9" x14ac:dyDescent="0.25">
      <c r="A14">
        <v>52</v>
      </c>
      <c r="B14" t="s">
        <v>142</v>
      </c>
      <c r="C14" t="s">
        <v>143</v>
      </c>
      <c r="D14" t="s">
        <v>85</v>
      </c>
      <c r="E14" t="s">
        <v>54</v>
      </c>
      <c r="F14" s="15">
        <v>34998</v>
      </c>
      <c r="G14">
        <v>36.5</v>
      </c>
      <c r="H14">
        <v>40</v>
      </c>
      <c r="I14" s="1">
        <v>1460</v>
      </c>
    </row>
    <row r="15" spans="1:9" x14ac:dyDescent="0.25">
      <c r="A15">
        <v>56</v>
      </c>
      <c r="B15" t="s">
        <v>144</v>
      </c>
      <c r="C15" t="s">
        <v>145</v>
      </c>
      <c r="D15" t="s">
        <v>75</v>
      </c>
      <c r="E15" t="s">
        <v>54</v>
      </c>
      <c r="F15" s="15">
        <v>36181</v>
      </c>
      <c r="G15">
        <v>36.5</v>
      </c>
      <c r="H15">
        <v>40</v>
      </c>
      <c r="I15" s="1">
        <v>1460</v>
      </c>
    </row>
    <row r="16" spans="1:9" x14ac:dyDescent="0.25">
      <c r="A16">
        <v>60</v>
      </c>
      <c r="B16" t="s">
        <v>179</v>
      </c>
      <c r="C16" t="s">
        <v>180</v>
      </c>
      <c r="D16" t="s">
        <v>80</v>
      </c>
      <c r="E16" t="s">
        <v>54</v>
      </c>
      <c r="F16" s="15">
        <v>34500</v>
      </c>
      <c r="G16">
        <v>23.75</v>
      </c>
      <c r="H16">
        <v>40</v>
      </c>
      <c r="I16" s="1">
        <v>950</v>
      </c>
    </row>
    <row r="17" spans="1:9" x14ac:dyDescent="0.25">
      <c r="A17">
        <v>64</v>
      </c>
      <c r="B17" t="s">
        <v>181</v>
      </c>
      <c r="C17" t="s">
        <v>182</v>
      </c>
      <c r="D17" t="s">
        <v>30</v>
      </c>
      <c r="E17" t="s">
        <v>54</v>
      </c>
      <c r="F17" s="15">
        <v>35390</v>
      </c>
      <c r="G17">
        <v>27.1</v>
      </c>
      <c r="H17">
        <v>35</v>
      </c>
      <c r="I17" s="1">
        <v>948.5</v>
      </c>
    </row>
    <row r="18" spans="1:9" x14ac:dyDescent="0.25">
      <c r="A18">
        <v>68</v>
      </c>
      <c r="B18" t="s">
        <v>52</v>
      </c>
      <c r="C18" t="s">
        <v>53</v>
      </c>
      <c r="D18" t="s">
        <v>43</v>
      </c>
      <c r="E18" t="s">
        <v>54</v>
      </c>
      <c r="F18" s="15">
        <v>35715</v>
      </c>
      <c r="G18">
        <v>35</v>
      </c>
      <c r="H18">
        <v>40</v>
      </c>
      <c r="I18" s="1">
        <v>1400</v>
      </c>
    </row>
    <row r="19" spans="1:9" x14ac:dyDescent="0.25">
      <c r="A19">
        <v>72</v>
      </c>
      <c r="B19" t="s">
        <v>192</v>
      </c>
      <c r="C19" t="s">
        <v>193</v>
      </c>
      <c r="D19" t="s">
        <v>33</v>
      </c>
      <c r="E19" t="s">
        <v>54</v>
      </c>
      <c r="F19" s="15">
        <v>34609</v>
      </c>
      <c r="G19">
        <v>21.5</v>
      </c>
      <c r="H19">
        <v>40</v>
      </c>
      <c r="I19" s="1">
        <v>860</v>
      </c>
    </row>
    <row r="20" spans="1:9" x14ac:dyDescent="0.25">
      <c r="A20">
        <v>76</v>
      </c>
      <c r="B20" t="s">
        <v>194</v>
      </c>
      <c r="C20" t="s">
        <v>195</v>
      </c>
      <c r="D20" t="s">
        <v>89</v>
      </c>
      <c r="E20" t="s">
        <v>54</v>
      </c>
      <c r="F20" s="15">
        <v>35728</v>
      </c>
      <c r="G20">
        <v>21.5</v>
      </c>
      <c r="H20">
        <v>40</v>
      </c>
      <c r="I20" s="1">
        <v>860</v>
      </c>
    </row>
    <row r="21" spans="1:9" x14ac:dyDescent="0.25">
      <c r="A21">
        <v>80</v>
      </c>
      <c r="B21" t="s">
        <v>196</v>
      </c>
      <c r="C21" t="s">
        <v>197</v>
      </c>
      <c r="D21" t="s">
        <v>85</v>
      </c>
      <c r="E21" t="s">
        <v>54</v>
      </c>
      <c r="F21" s="15">
        <v>44877</v>
      </c>
      <c r="G21">
        <v>21.5</v>
      </c>
      <c r="H21">
        <v>40</v>
      </c>
      <c r="I21" s="1">
        <v>860</v>
      </c>
    </row>
    <row r="22" spans="1:9" x14ac:dyDescent="0.25">
      <c r="A22">
        <v>84</v>
      </c>
      <c r="B22" t="s">
        <v>201</v>
      </c>
      <c r="C22" t="s">
        <v>202</v>
      </c>
      <c r="D22" t="s">
        <v>75</v>
      </c>
      <c r="E22" t="s">
        <v>54</v>
      </c>
      <c r="F22" s="15">
        <v>34673</v>
      </c>
      <c r="G22">
        <v>23.75</v>
      </c>
      <c r="H22">
        <v>32</v>
      </c>
      <c r="I22" s="1">
        <v>760</v>
      </c>
    </row>
    <row r="23" spans="1:9" x14ac:dyDescent="0.25">
      <c r="A23">
        <v>88</v>
      </c>
      <c r="B23" t="s">
        <v>78</v>
      </c>
      <c r="C23" t="s">
        <v>198</v>
      </c>
      <c r="D23" t="s">
        <v>80</v>
      </c>
      <c r="E23" t="s">
        <v>54</v>
      </c>
      <c r="F23" s="15">
        <v>31884</v>
      </c>
      <c r="G23">
        <v>21.5</v>
      </c>
      <c r="H23">
        <v>40</v>
      </c>
      <c r="I23" s="1">
        <v>860</v>
      </c>
    </row>
    <row r="24" spans="1:9" x14ac:dyDescent="0.25">
      <c r="A24">
        <v>92</v>
      </c>
      <c r="B24" t="s">
        <v>188</v>
      </c>
      <c r="C24" t="s">
        <v>189</v>
      </c>
      <c r="D24" t="s">
        <v>30</v>
      </c>
      <c r="E24" t="s">
        <v>54</v>
      </c>
      <c r="F24" s="15">
        <v>33568</v>
      </c>
      <c r="G24">
        <v>22.22</v>
      </c>
      <c r="H24">
        <v>40</v>
      </c>
      <c r="I24" s="1">
        <v>888.8</v>
      </c>
    </row>
    <row r="25" spans="1:9" x14ac:dyDescent="0.25">
      <c r="F25" s="15"/>
      <c r="I25" s="1"/>
    </row>
    <row r="26" spans="1:9" x14ac:dyDescent="0.25">
      <c r="F26" s="15"/>
      <c r="I26" s="1"/>
    </row>
    <row r="27" spans="1:9" x14ac:dyDescent="0.25">
      <c r="F27" s="15"/>
      <c r="I27" s="1"/>
    </row>
    <row r="28" spans="1:9" x14ac:dyDescent="0.25">
      <c r="F28" s="15"/>
      <c r="I28" s="1"/>
    </row>
    <row r="29" spans="1:9" x14ac:dyDescent="0.25">
      <c r="F29" s="15"/>
      <c r="I29" s="1"/>
    </row>
    <row r="30" spans="1:9" x14ac:dyDescent="0.25">
      <c r="F30" s="15"/>
      <c r="I30" s="1"/>
    </row>
    <row r="31" spans="1:9" x14ac:dyDescent="0.25">
      <c r="F31" s="15"/>
      <c r="I31" s="1"/>
    </row>
    <row r="32" spans="1:9" x14ac:dyDescent="0.25">
      <c r="F32" s="15"/>
      <c r="I32" s="1"/>
    </row>
    <row r="33" spans="6:9" x14ac:dyDescent="0.25">
      <c r="F33" s="15"/>
      <c r="I33" s="1"/>
    </row>
    <row r="34" spans="6:9" x14ac:dyDescent="0.25">
      <c r="F34" s="15"/>
      <c r="I34" s="1"/>
    </row>
    <row r="35" spans="6:9" x14ac:dyDescent="0.25">
      <c r="F35" s="15"/>
      <c r="I35" s="1"/>
    </row>
    <row r="36" spans="6:9" x14ac:dyDescent="0.25">
      <c r="F36" s="15"/>
      <c r="I36" s="1"/>
    </row>
    <row r="37" spans="6:9" x14ac:dyDescent="0.25">
      <c r="F37" s="15"/>
      <c r="I37" s="1"/>
    </row>
    <row r="38" spans="6:9" x14ac:dyDescent="0.25">
      <c r="F38" s="15"/>
      <c r="I38" s="1"/>
    </row>
    <row r="39" spans="6:9" x14ac:dyDescent="0.25">
      <c r="F39" s="15"/>
      <c r="I39" s="1"/>
    </row>
    <row r="40" spans="6:9" x14ac:dyDescent="0.25">
      <c r="F40" s="15"/>
      <c r="I40" s="1"/>
    </row>
    <row r="41" spans="6:9" x14ac:dyDescent="0.25">
      <c r="F41" s="15"/>
      <c r="I41" s="1"/>
    </row>
    <row r="42" spans="6:9" x14ac:dyDescent="0.25">
      <c r="F42" s="15"/>
      <c r="I42" s="1"/>
    </row>
    <row r="43" spans="6:9" x14ac:dyDescent="0.25">
      <c r="F43" s="15"/>
      <c r="I43" s="1"/>
    </row>
    <row r="44" spans="6:9" x14ac:dyDescent="0.25">
      <c r="F44" s="15"/>
      <c r="I44" s="1"/>
    </row>
    <row r="45" spans="6:9" x14ac:dyDescent="0.25">
      <c r="F45" s="15"/>
      <c r="I45" s="1"/>
    </row>
    <row r="46" spans="6:9" x14ac:dyDescent="0.25">
      <c r="F46" s="15"/>
      <c r="I46" s="1"/>
    </row>
    <row r="47" spans="6:9" x14ac:dyDescent="0.25">
      <c r="F47" s="15"/>
      <c r="I47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F97D3-4E62-4DB2-95D8-FB144598B73F}">
  <sheetPr codeName="Sheet6"/>
  <dimension ref="A1:I95"/>
  <sheetViews>
    <sheetView workbookViewId="0">
      <selection activeCell="J11" sqref="J11"/>
    </sheetView>
  </sheetViews>
  <sheetFormatPr defaultRowHeight="15" x14ac:dyDescent="0.25"/>
  <cols>
    <col min="6" max="6" width="11.42578125" customWidth="1"/>
  </cols>
  <sheetData>
    <row r="1" spans="1:9" x14ac:dyDescent="0.25">
      <c r="A1" s="7" t="s">
        <v>34</v>
      </c>
      <c r="B1" s="7" t="s">
        <v>35</v>
      </c>
      <c r="C1" s="7" t="s">
        <v>36</v>
      </c>
      <c r="D1" s="7" t="s">
        <v>23</v>
      </c>
      <c r="E1" s="7" t="s">
        <v>24</v>
      </c>
      <c r="F1" s="21" t="s">
        <v>37</v>
      </c>
      <c r="G1" s="7" t="s">
        <v>38</v>
      </c>
      <c r="H1" s="7" t="s">
        <v>39</v>
      </c>
      <c r="I1" s="20" t="s">
        <v>40</v>
      </c>
    </row>
    <row r="2" spans="1:9" x14ac:dyDescent="0.25">
      <c r="A2">
        <v>1</v>
      </c>
      <c r="B2" t="s">
        <v>134</v>
      </c>
      <c r="C2" t="s">
        <v>135</v>
      </c>
      <c r="D2" t="s">
        <v>30</v>
      </c>
      <c r="E2" t="s">
        <v>51</v>
      </c>
      <c r="F2" s="15">
        <v>34690</v>
      </c>
      <c r="G2">
        <v>45</v>
      </c>
      <c r="H2">
        <v>35.5</v>
      </c>
      <c r="I2" s="1">
        <v>1597.5</v>
      </c>
    </row>
    <row r="3" spans="1:9" x14ac:dyDescent="0.25">
      <c r="A3">
        <v>5</v>
      </c>
      <c r="B3" t="s">
        <v>59</v>
      </c>
      <c r="C3" t="s">
        <v>60</v>
      </c>
      <c r="D3" t="s">
        <v>43</v>
      </c>
      <c r="E3" t="s">
        <v>51</v>
      </c>
      <c r="F3" s="15">
        <v>33399</v>
      </c>
      <c r="G3">
        <v>27.6</v>
      </c>
      <c r="H3">
        <v>40</v>
      </c>
      <c r="I3" s="1">
        <v>1104</v>
      </c>
    </row>
    <row r="4" spans="1:9" x14ac:dyDescent="0.25">
      <c r="A4">
        <v>9</v>
      </c>
      <c r="B4" t="s">
        <v>170</v>
      </c>
      <c r="C4" t="s">
        <v>171</v>
      </c>
      <c r="D4" t="s">
        <v>33</v>
      </c>
      <c r="E4" t="s">
        <v>51</v>
      </c>
      <c r="F4" s="15">
        <v>35825</v>
      </c>
      <c r="G4">
        <v>28.3</v>
      </c>
      <c r="H4">
        <v>35.5</v>
      </c>
      <c r="I4" s="1">
        <v>1004.65</v>
      </c>
    </row>
    <row r="5" spans="1:9" x14ac:dyDescent="0.25">
      <c r="A5">
        <v>13</v>
      </c>
      <c r="B5" t="s">
        <v>132</v>
      </c>
      <c r="C5" t="s">
        <v>133</v>
      </c>
      <c r="D5" t="s">
        <v>89</v>
      </c>
      <c r="E5" t="s">
        <v>51</v>
      </c>
      <c r="F5" s="15">
        <v>33992</v>
      </c>
      <c r="G5">
        <v>50</v>
      </c>
      <c r="H5">
        <v>35.5</v>
      </c>
      <c r="I5" s="1">
        <v>1775</v>
      </c>
    </row>
    <row r="6" spans="1:9" x14ac:dyDescent="0.25">
      <c r="A6">
        <v>17</v>
      </c>
      <c r="B6" t="s">
        <v>136</v>
      </c>
      <c r="C6" t="s">
        <v>137</v>
      </c>
      <c r="D6" t="s">
        <v>85</v>
      </c>
      <c r="E6" t="s">
        <v>51</v>
      </c>
      <c r="F6" s="15">
        <v>34094</v>
      </c>
      <c r="G6">
        <v>37</v>
      </c>
      <c r="H6">
        <v>40</v>
      </c>
      <c r="I6" s="1">
        <v>1480</v>
      </c>
    </row>
    <row r="7" spans="1:9" x14ac:dyDescent="0.25">
      <c r="A7">
        <v>21</v>
      </c>
      <c r="B7" t="s">
        <v>208</v>
      </c>
      <c r="C7" t="s">
        <v>77</v>
      </c>
      <c r="D7" t="s">
        <v>75</v>
      </c>
      <c r="E7" t="s">
        <v>51</v>
      </c>
      <c r="F7" s="15">
        <v>33649</v>
      </c>
      <c r="G7">
        <v>23.52</v>
      </c>
      <c r="H7">
        <v>25</v>
      </c>
      <c r="I7" s="1">
        <v>588</v>
      </c>
    </row>
    <row r="8" spans="1:9" x14ac:dyDescent="0.25">
      <c r="A8">
        <v>25</v>
      </c>
      <c r="B8" t="s">
        <v>159</v>
      </c>
      <c r="C8" t="s">
        <v>76</v>
      </c>
      <c r="D8" t="s">
        <v>80</v>
      </c>
      <c r="E8" t="s">
        <v>51</v>
      </c>
      <c r="F8" s="15">
        <v>35747</v>
      </c>
      <c r="G8">
        <v>30.5</v>
      </c>
      <c r="H8">
        <v>40</v>
      </c>
      <c r="I8" s="1">
        <v>1220</v>
      </c>
    </row>
    <row r="9" spans="1:9" x14ac:dyDescent="0.25">
      <c r="A9">
        <v>29</v>
      </c>
      <c r="B9" t="s">
        <v>203</v>
      </c>
      <c r="C9" t="s">
        <v>204</v>
      </c>
      <c r="D9" t="s">
        <v>30</v>
      </c>
      <c r="E9" t="s">
        <v>51</v>
      </c>
      <c r="F9" s="15">
        <v>33831</v>
      </c>
      <c r="G9">
        <v>20.5</v>
      </c>
      <c r="H9">
        <v>32</v>
      </c>
      <c r="I9" s="1">
        <v>656</v>
      </c>
    </row>
    <row r="10" spans="1:9" x14ac:dyDescent="0.25">
      <c r="A10">
        <v>33</v>
      </c>
      <c r="B10" t="s">
        <v>49</v>
      </c>
      <c r="C10" t="s">
        <v>50</v>
      </c>
      <c r="D10" t="s">
        <v>43</v>
      </c>
      <c r="E10" t="s">
        <v>51</v>
      </c>
      <c r="F10" s="15">
        <v>36017</v>
      </c>
      <c r="G10">
        <v>50</v>
      </c>
      <c r="H10">
        <v>35</v>
      </c>
      <c r="I10" s="1">
        <v>1750</v>
      </c>
    </row>
    <row r="11" spans="1:9" x14ac:dyDescent="0.25">
      <c r="A11">
        <v>37</v>
      </c>
      <c r="B11" t="s">
        <v>124</v>
      </c>
      <c r="C11" t="s">
        <v>205</v>
      </c>
      <c r="D11" t="s">
        <v>33</v>
      </c>
      <c r="E11" t="s">
        <v>51</v>
      </c>
      <c r="F11" s="15">
        <v>34949</v>
      </c>
      <c r="G11">
        <v>21.5</v>
      </c>
      <c r="H11">
        <v>29.5</v>
      </c>
      <c r="I11" s="1">
        <v>634.25</v>
      </c>
    </row>
    <row r="12" spans="1:9" x14ac:dyDescent="0.25">
      <c r="A12">
        <v>41</v>
      </c>
      <c r="B12" t="s">
        <v>186</v>
      </c>
      <c r="C12" t="s">
        <v>187</v>
      </c>
      <c r="D12" t="s">
        <v>89</v>
      </c>
      <c r="E12" t="s">
        <v>51</v>
      </c>
      <c r="F12" s="15">
        <v>34471</v>
      </c>
      <c r="G12">
        <v>23.22</v>
      </c>
      <c r="H12">
        <v>40</v>
      </c>
      <c r="I12" s="1">
        <v>928.8</v>
      </c>
    </row>
    <row r="13" spans="1:9" x14ac:dyDescent="0.25">
      <c r="A13">
        <v>45</v>
      </c>
      <c r="B13" t="s">
        <v>138</v>
      </c>
      <c r="C13" t="s">
        <v>139</v>
      </c>
      <c r="D13" t="s">
        <v>85</v>
      </c>
      <c r="E13" t="s">
        <v>51</v>
      </c>
      <c r="F13" s="15">
        <v>33883</v>
      </c>
      <c r="G13">
        <v>37</v>
      </c>
      <c r="H13">
        <v>40</v>
      </c>
      <c r="I13" s="1">
        <v>1480</v>
      </c>
    </row>
    <row r="14" spans="1:9" x14ac:dyDescent="0.25">
      <c r="A14">
        <v>49</v>
      </c>
      <c r="B14" t="s">
        <v>136</v>
      </c>
      <c r="C14" t="s">
        <v>174</v>
      </c>
      <c r="D14" t="s">
        <v>75</v>
      </c>
      <c r="E14" t="s">
        <v>51</v>
      </c>
      <c r="F14" s="15">
        <v>35034</v>
      </c>
      <c r="G14">
        <v>27.5</v>
      </c>
      <c r="H14">
        <v>35.5</v>
      </c>
      <c r="I14" s="1">
        <v>976.25</v>
      </c>
    </row>
    <row r="15" spans="1:9" x14ac:dyDescent="0.25">
      <c r="A15">
        <v>53</v>
      </c>
      <c r="B15" t="s">
        <v>151</v>
      </c>
      <c r="C15" t="s">
        <v>152</v>
      </c>
      <c r="D15" t="s">
        <v>80</v>
      </c>
      <c r="E15" t="s">
        <v>51</v>
      </c>
      <c r="F15" s="15">
        <v>34347</v>
      </c>
      <c r="G15">
        <v>39</v>
      </c>
      <c r="H15">
        <v>35</v>
      </c>
      <c r="I15" s="1">
        <v>1365</v>
      </c>
    </row>
    <row r="16" spans="1:9" x14ac:dyDescent="0.25">
      <c r="A16">
        <v>57</v>
      </c>
      <c r="B16" t="s">
        <v>73</v>
      </c>
      <c r="C16" t="s">
        <v>166</v>
      </c>
      <c r="D16" t="s">
        <v>30</v>
      </c>
      <c r="E16" t="s">
        <v>51</v>
      </c>
      <c r="F16" s="15">
        <v>32732</v>
      </c>
      <c r="G16">
        <v>30.5</v>
      </c>
      <c r="H16">
        <v>38</v>
      </c>
      <c r="I16" s="1">
        <v>1159</v>
      </c>
    </row>
    <row r="17" spans="1:9" x14ac:dyDescent="0.25">
      <c r="A17">
        <v>61</v>
      </c>
      <c r="B17" t="s">
        <v>67</v>
      </c>
      <c r="C17" t="s">
        <v>68</v>
      </c>
      <c r="D17" t="s">
        <v>43</v>
      </c>
      <c r="E17" t="s">
        <v>51</v>
      </c>
      <c r="F17" s="15">
        <v>34846</v>
      </c>
      <c r="G17">
        <v>23.52</v>
      </c>
      <c r="H17">
        <v>25</v>
      </c>
      <c r="I17" s="1">
        <v>588</v>
      </c>
    </row>
    <row r="18" spans="1:9" x14ac:dyDescent="0.25">
      <c r="A18">
        <v>65</v>
      </c>
      <c r="B18" t="s">
        <v>153</v>
      </c>
      <c r="C18" t="s">
        <v>154</v>
      </c>
      <c r="D18" t="s">
        <v>33</v>
      </c>
      <c r="E18" t="s">
        <v>51</v>
      </c>
      <c r="F18" s="15">
        <v>34364</v>
      </c>
      <c r="G18">
        <v>39</v>
      </c>
      <c r="H18">
        <v>35</v>
      </c>
      <c r="I18" s="1">
        <v>1365</v>
      </c>
    </row>
    <row r="19" spans="1:9" x14ac:dyDescent="0.25">
      <c r="A19">
        <v>69</v>
      </c>
      <c r="B19" t="s">
        <v>183</v>
      </c>
      <c r="C19" t="s">
        <v>184</v>
      </c>
      <c r="D19" t="s">
        <v>89</v>
      </c>
      <c r="E19" t="s">
        <v>51</v>
      </c>
      <c r="F19" s="15">
        <v>36231</v>
      </c>
      <c r="G19">
        <v>27.1</v>
      </c>
      <c r="H19">
        <v>35</v>
      </c>
      <c r="I19" s="1">
        <v>948.5</v>
      </c>
    </row>
    <row r="20" spans="1:9" x14ac:dyDescent="0.25">
      <c r="A20">
        <v>73</v>
      </c>
      <c r="B20" t="s">
        <v>190</v>
      </c>
      <c r="C20" t="s">
        <v>191</v>
      </c>
      <c r="D20" t="s">
        <v>85</v>
      </c>
      <c r="E20" t="s">
        <v>51</v>
      </c>
      <c r="F20" s="15">
        <v>33646</v>
      </c>
      <c r="G20">
        <v>22.22</v>
      </c>
      <c r="H20">
        <v>40</v>
      </c>
      <c r="I20" s="1">
        <v>888.8</v>
      </c>
    </row>
    <row r="21" spans="1:9" x14ac:dyDescent="0.25">
      <c r="A21">
        <v>77</v>
      </c>
      <c r="B21" t="s">
        <v>146</v>
      </c>
      <c r="C21" t="s">
        <v>147</v>
      </c>
      <c r="D21" t="s">
        <v>75</v>
      </c>
      <c r="E21" t="s">
        <v>51</v>
      </c>
      <c r="F21" s="15">
        <v>34679</v>
      </c>
      <c r="G21">
        <v>34.5</v>
      </c>
      <c r="H21">
        <v>40</v>
      </c>
      <c r="I21" s="1">
        <v>1380</v>
      </c>
    </row>
    <row r="22" spans="1:9" x14ac:dyDescent="0.25">
      <c r="A22">
        <v>81</v>
      </c>
      <c r="B22" t="s">
        <v>160</v>
      </c>
      <c r="C22" t="s">
        <v>161</v>
      </c>
      <c r="D22" t="s">
        <v>80</v>
      </c>
      <c r="E22" t="s">
        <v>51</v>
      </c>
      <c r="F22" s="15">
        <v>33908</v>
      </c>
      <c r="G22">
        <v>30.5</v>
      </c>
      <c r="H22">
        <v>40</v>
      </c>
      <c r="I22" s="1">
        <v>1220</v>
      </c>
    </row>
    <row r="23" spans="1:9" x14ac:dyDescent="0.25">
      <c r="A23">
        <v>85</v>
      </c>
      <c r="B23" t="s">
        <v>156</v>
      </c>
      <c r="C23" t="s">
        <v>157</v>
      </c>
      <c r="D23" t="s">
        <v>30</v>
      </c>
      <c r="E23" t="s">
        <v>51</v>
      </c>
      <c r="F23" s="15">
        <v>35916</v>
      </c>
      <c r="G23">
        <v>30.5</v>
      </c>
      <c r="H23">
        <v>42</v>
      </c>
      <c r="I23" s="1">
        <v>1281</v>
      </c>
    </row>
    <row r="24" spans="1:9" x14ac:dyDescent="0.25">
      <c r="A24">
        <v>89</v>
      </c>
      <c r="B24" t="s">
        <v>63</v>
      </c>
      <c r="C24" t="s">
        <v>64</v>
      </c>
      <c r="D24" t="s">
        <v>43</v>
      </c>
      <c r="E24" t="s">
        <v>51</v>
      </c>
      <c r="F24" s="15">
        <v>34879</v>
      </c>
      <c r="G24">
        <v>21.5</v>
      </c>
      <c r="H24">
        <v>40</v>
      </c>
      <c r="I24" s="1">
        <v>860</v>
      </c>
    </row>
    <row r="25" spans="1:9" x14ac:dyDescent="0.25">
      <c r="A25">
        <v>93</v>
      </c>
      <c r="B25" t="s">
        <v>129</v>
      </c>
      <c r="C25" t="s">
        <v>98</v>
      </c>
      <c r="D25" t="s">
        <v>33</v>
      </c>
      <c r="E25" t="s">
        <v>51</v>
      </c>
      <c r="F25" s="15">
        <v>36256</v>
      </c>
      <c r="G25">
        <v>47</v>
      </c>
      <c r="H25">
        <v>40</v>
      </c>
      <c r="I25" s="1">
        <v>1880</v>
      </c>
    </row>
    <row r="26" spans="1:9" x14ac:dyDescent="0.25">
      <c r="A26">
        <v>2</v>
      </c>
      <c r="B26" t="s">
        <v>99</v>
      </c>
      <c r="C26" t="s">
        <v>100</v>
      </c>
      <c r="D26" t="s">
        <v>33</v>
      </c>
      <c r="E26" t="s">
        <v>44</v>
      </c>
      <c r="F26" s="15">
        <v>34153</v>
      </c>
      <c r="G26">
        <v>28.3</v>
      </c>
      <c r="H26">
        <v>35.5</v>
      </c>
      <c r="I26" s="1">
        <v>1004.65</v>
      </c>
    </row>
    <row r="27" spans="1:9" x14ac:dyDescent="0.25">
      <c r="A27">
        <v>6</v>
      </c>
      <c r="B27" t="s">
        <v>90</v>
      </c>
      <c r="C27" t="s">
        <v>91</v>
      </c>
      <c r="D27" t="s">
        <v>89</v>
      </c>
      <c r="E27" t="s">
        <v>44</v>
      </c>
      <c r="F27" s="15">
        <v>34853</v>
      </c>
      <c r="G27">
        <v>39</v>
      </c>
      <c r="H27">
        <v>35</v>
      </c>
      <c r="I27" s="1">
        <v>1365</v>
      </c>
    </row>
    <row r="28" spans="1:9" x14ac:dyDescent="0.25">
      <c r="A28">
        <v>10</v>
      </c>
      <c r="B28" t="s">
        <v>83</v>
      </c>
      <c r="C28" t="s">
        <v>84</v>
      </c>
      <c r="D28" t="s">
        <v>85</v>
      </c>
      <c r="E28" t="s">
        <v>44</v>
      </c>
      <c r="F28" s="15">
        <v>36157</v>
      </c>
      <c r="G28">
        <v>36.5</v>
      </c>
      <c r="H28">
        <v>40</v>
      </c>
      <c r="I28" s="1">
        <v>1460</v>
      </c>
    </row>
    <row r="29" spans="1:9" x14ac:dyDescent="0.25">
      <c r="A29">
        <v>14</v>
      </c>
      <c r="B29" t="s">
        <v>101</v>
      </c>
      <c r="C29" t="s">
        <v>105</v>
      </c>
      <c r="D29" t="s">
        <v>75</v>
      </c>
      <c r="E29" t="s">
        <v>44</v>
      </c>
      <c r="F29" s="15">
        <v>35195</v>
      </c>
      <c r="G29">
        <v>22.22</v>
      </c>
      <c r="H29">
        <v>40</v>
      </c>
      <c r="I29" s="1">
        <v>888.8</v>
      </c>
    </row>
    <row r="30" spans="1:9" x14ac:dyDescent="0.25">
      <c r="A30">
        <v>18</v>
      </c>
      <c r="B30" t="s">
        <v>78</v>
      </c>
      <c r="C30" t="s">
        <v>79</v>
      </c>
      <c r="D30" t="s">
        <v>80</v>
      </c>
      <c r="E30" t="s">
        <v>44</v>
      </c>
      <c r="F30" s="15">
        <v>35050</v>
      </c>
      <c r="G30">
        <v>37</v>
      </c>
      <c r="H30">
        <v>40</v>
      </c>
      <c r="I30" s="1">
        <v>1480</v>
      </c>
    </row>
    <row r="31" spans="1:9" x14ac:dyDescent="0.25">
      <c r="A31">
        <v>22</v>
      </c>
      <c r="B31" t="s">
        <v>103</v>
      </c>
      <c r="C31" t="s">
        <v>104</v>
      </c>
      <c r="D31" t="s">
        <v>30</v>
      </c>
      <c r="E31" t="s">
        <v>44</v>
      </c>
      <c r="F31" s="15">
        <v>33634</v>
      </c>
      <c r="G31">
        <v>23.75</v>
      </c>
      <c r="H31">
        <v>40</v>
      </c>
      <c r="I31" s="1">
        <v>950</v>
      </c>
    </row>
    <row r="32" spans="1:9" x14ac:dyDescent="0.25">
      <c r="A32">
        <v>26</v>
      </c>
      <c r="B32" t="s">
        <v>47</v>
      </c>
      <c r="C32" t="s">
        <v>48</v>
      </c>
      <c r="D32" t="s">
        <v>43</v>
      </c>
      <c r="E32" t="s">
        <v>44</v>
      </c>
      <c r="F32" s="15">
        <v>36374</v>
      </c>
      <c r="G32">
        <v>20.5</v>
      </c>
      <c r="H32">
        <v>32</v>
      </c>
      <c r="I32" s="1">
        <v>656</v>
      </c>
    </row>
    <row r="33" spans="1:9" x14ac:dyDescent="0.25">
      <c r="A33">
        <v>30</v>
      </c>
      <c r="B33" t="s">
        <v>86</v>
      </c>
      <c r="C33" t="s">
        <v>87</v>
      </c>
      <c r="D33" t="s">
        <v>33</v>
      </c>
      <c r="E33" t="s">
        <v>44</v>
      </c>
      <c r="F33" s="15">
        <v>33837</v>
      </c>
      <c r="G33">
        <v>36.5</v>
      </c>
      <c r="H33">
        <v>40</v>
      </c>
      <c r="I33" s="1">
        <v>1460</v>
      </c>
    </row>
    <row r="34" spans="1:9" x14ac:dyDescent="0.25">
      <c r="A34">
        <v>34</v>
      </c>
      <c r="B34" t="s">
        <v>88</v>
      </c>
      <c r="C34" t="s">
        <v>77</v>
      </c>
      <c r="D34" t="s">
        <v>89</v>
      </c>
      <c r="E34" t="s">
        <v>44</v>
      </c>
      <c r="F34" s="15">
        <v>35372</v>
      </c>
      <c r="G34">
        <v>34.5</v>
      </c>
      <c r="H34">
        <v>40</v>
      </c>
      <c r="I34" s="1">
        <v>1380</v>
      </c>
    </row>
    <row r="35" spans="1:9" x14ac:dyDescent="0.25">
      <c r="A35">
        <v>38</v>
      </c>
      <c r="B35" t="s">
        <v>93</v>
      </c>
      <c r="C35" t="s">
        <v>94</v>
      </c>
      <c r="D35" t="s">
        <v>85</v>
      </c>
      <c r="E35" t="s">
        <v>44</v>
      </c>
      <c r="F35" s="15">
        <v>33404</v>
      </c>
      <c r="G35">
        <v>30.5</v>
      </c>
      <c r="H35">
        <v>38</v>
      </c>
      <c r="I35" s="1">
        <v>1159</v>
      </c>
    </row>
    <row r="36" spans="1:9" x14ac:dyDescent="0.25">
      <c r="A36">
        <v>42</v>
      </c>
      <c r="B36" t="s">
        <v>73</v>
      </c>
      <c r="C36" t="s">
        <v>74</v>
      </c>
      <c r="D36" t="s">
        <v>75</v>
      </c>
      <c r="E36" t="s">
        <v>44</v>
      </c>
      <c r="F36" s="15">
        <v>32883</v>
      </c>
      <c r="G36">
        <v>45</v>
      </c>
      <c r="H36">
        <v>40</v>
      </c>
      <c r="I36" s="1">
        <v>1800</v>
      </c>
    </row>
    <row r="37" spans="1:9" x14ac:dyDescent="0.25">
      <c r="A37">
        <v>46</v>
      </c>
      <c r="B37" t="s">
        <v>106</v>
      </c>
      <c r="C37" t="s">
        <v>107</v>
      </c>
      <c r="D37" t="s">
        <v>80</v>
      </c>
      <c r="E37" t="s">
        <v>44</v>
      </c>
      <c r="F37" s="15">
        <v>35427</v>
      </c>
      <c r="G37">
        <v>20.5</v>
      </c>
      <c r="H37">
        <v>32</v>
      </c>
      <c r="I37" s="1">
        <v>656</v>
      </c>
    </row>
    <row r="38" spans="1:9" x14ac:dyDescent="0.25">
      <c r="A38">
        <v>50</v>
      </c>
      <c r="B38" t="s">
        <v>81</v>
      </c>
      <c r="C38" t="s">
        <v>82</v>
      </c>
      <c r="D38" t="s">
        <v>30</v>
      </c>
      <c r="E38" t="s">
        <v>44</v>
      </c>
      <c r="F38" s="15">
        <v>34610</v>
      </c>
      <c r="G38">
        <v>36.5</v>
      </c>
      <c r="H38">
        <v>40</v>
      </c>
      <c r="I38" s="1">
        <v>1460</v>
      </c>
    </row>
    <row r="39" spans="1:9" x14ac:dyDescent="0.25">
      <c r="A39">
        <v>54</v>
      </c>
      <c r="B39" t="s">
        <v>41</v>
      </c>
      <c r="C39" t="s">
        <v>42</v>
      </c>
      <c r="D39" t="s">
        <v>43</v>
      </c>
      <c r="E39" t="s">
        <v>44</v>
      </c>
      <c r="F39" s="15">
        <v>34615</v>
      </c>
      <c r="G39">
        <v>36.5</v>
      </c>
      <c r="H39">
        <v>40</v>
      </c>
      <c r="I39" s="1">
        <v>1460</v>
      </c>
    </row>
    <row r="40" spans="1:9" x14ac:dyDescent="0.25">
      <c r="A40">
        <v>58</v>
      </c>
      <c r="B40" t="s">
        <v>95</v>
      </c>
      <c r="C40" t="s">
        <v>96</v>
      </c>
      <c r="D40" t="s">
        <v>33</v>
      </c>
      <c r="E40" t="s">
        <v>44</v>
      </c>
      <c r="F40" s="15">
        <v>35755</v>
      </c>
      <c r="G40">
        <v>27.6</v>
      </c>
      <c r="H40">
        <v>40</v>
      </c>
      <c r="I40" s="1">
        <v>1104</v>
      </c>
    </row>
    <row r="41" spans="1:9" x14ac:dyDescent="0.25">
      <c r="A41">
        <v>62</v>
      </c>
      <c r="B41" t="s">
        <v>108</v>
      </c>
      <c r="C41" t="s">
        <v>109</v>
      </c>
      <c r="D41" t="s">
        <v>89</v>
      </c>
      <c r="E41" t="s">
        <v>44</v>
      </c>
      <c r="F41" s="15">
        <v>35545</v>
      </c>
      <c r="G41">
        <v>21.5</v>
      </c>
      <c r="H41">
        <v>15.5</v>
      </c>
      <c r="I41" s="1">
        <v>333.25</v>
      </c>
    </row>
    <row r="42" spans="1:9" x14ac:dyDescent="0.25">
      <c r="A42">
        <v>66</v>
      </c>
      <c r="B42" t="s">
        <v>101</v>
      </c>
      <c r="C42" t="s">
        <v>102</v>
      </c>
      <c r="D42" t="s">
        <v>85</v>
      </c>
      <c r="E42" t="s">
        <v>44</v>
      </c>
      <c r="F42" s="15">
        <v>33688</v>
      </c>
      <c r="G42">
        <v>28.3</v>
      </c>
      <c r="H42">
        <v>35.5</v>
      </c>
      <c r="I42" s="1">
        <v>1004.65</v>
      </c>
    </row>
    <row r="43" spans="1:9" x14ac:dyDescent="0.25">
      <c r="A43">
        <v>70</v>
      </c>
      <c r="B43" t="s">
        <v>76</v>
      </c>
      <c r="C43" t="s">
        <v>77</v>
      </c>
      <c r="D43" t="s">
        <v>75</v>
      </c>
      <c r="E43" t="s">
        <v>44</v>
      </c>
      <c r="F43" s="15">
        <v>35759</v>
      </c>
      <c r="G43">
        <v>39</v>
      </c>
      <c r="H43">
        <v>42</v>
      </c>
      <c r="I43" s="1">
        <v>1638</v>
      </c>
    </row>
    <row r="44" spans="1:9" x14ac:dyDescent="0.25">
      <c r="A44">
        <v>74</v>
      </c>
      <c r="B44" t="s">
        <v>97</v>
      </c>
      <c r="C44" t="s">
        <v>98</v>
      </c>
      <c r="D44" t="s">
        <v>80</v>
      </c>
      <c r="E44" t="s">
        <v>44</v>
      </c>
      <c r="F44" s="15">
        <v>32919</v>
      </c>
      <c r="G44">
        <v>27.1</v>
      </c>
      <c r="H44">
        <v>40</v>
      </c>
      <c r="I44" s="1">
        <v>1084</v>
      </c>
    </row>
    <row r="45" spans="1:9" x14ac:dyDescent="0.25">
      <c r="A45">
        <v>78</v>
      </c>
      <c r="B45" t="s">
        <v>71</v>
      </c>
      <c r="C45" t="s">
        <v>72</v>
      </c>
      <c r="D45" t="s">
        <v>30</v>
      </c>
      <c r="E45" t="s">
        <v>44</v>
      </c>
      <c r="F45" s="15">
        <v>36221</v>
      </c>
      <c r="G45">
        <v>48</v>
      </c>
      <c r="H45">
        <v>40</v>
      </c>
      <c r="I45" s="1">
        <v>1920</v>
      </c>
    </row>
    <row r="46" spans="1:9" x14ac:dyDescent="0.25">
      <c r="A46">
        <v>82</v>
      </c>
      <c r="B46" t="s">
        <v>45</v>
      </c>
      <c r="C46" t="s">
        <v>46</v>
      </c>
      <c r="D46" t="s">
        <v>43</v>
      </c>
      <c r="E46" t="s">
        <v>44</v>
      </c>
      <c r="F46" s="15">
        <v>35451</v>
      </c>
      <c r="G46">
        <v>30</v>
      </c>
      <c r="H46">
        <v>29.5</v>
      </c>
      <c r="I46" s="1">
        <v>885</v>
      </c>
    </row>
    <row r="47" spans="1:9" x14ac:dyDescent="0.25">
      <c r="A47">
        <v>86</v>
      </c>
      <c r="B47" t="s">
        <v>92</v>
      </c>
      <c r="C47" t="s">
        <v>77</v>
      </c>
      <c r="D47" t="s">
        <v>33</v>
      </c>
      <c r="E47" t="s">
        <v>44</v>
      </c>
      <c r="F47" s="15">
        <v>34610</v>
      </c>
      <c r="G47">
        <v>30</v>
      </c>
      <c r="H47">
        <v>40</v>
      </c>
      <c r="I47" s="1">
        <v>1200</v>
      </c>
    </row>
    <row r="48" spans="1:9" x14ac:dyDescent="0.25">
      <c r="A48">
        <v>90</v>
      </c>
      <c r="B48" t="s">
        <v>112</v>
      </c>
      <c r="C48" t="s">
        <v>113</v>
      </c>
      <c r="D48" t="s">
        <v>89</v>
      </c>
      <c r="E48" t="s">
        <v>44</v>
      </c>
      <c r="F48" s="15">
        <v>34758</v>
      </c>
      <c r="G48">
        <v>20.5</v>
      </c>
      <c r="H48">
        <v>15.5</v>
      </c>
      <c r="I48" s="1">
        <v>317.75</v>
      </c>
    </row>
    <row r="49" spans="1:9" x14ac:dyDescent="0.25">
      <c r="A49">
        <v>94</v>
      </c>
      <c r="B49" t="s">
        <v>110</v>
      </c>
      <c r="C49" t="s">
        <v>111</v>
      </c>
      <c r="D49" t="s">
        <v>85</v>
      </c>
      <c r="E49" t="s">
        <v>44</v>
      </c>
      <c r="F49" s="15">
        <v>36037</v>
      </c>
      <c r="G49">
        <v>21.5</v>
      </c>
      <c r="H49">
        <v>15.5</v>
      </c>
      <c r="I49" s="1">
        <v>333.25</v>
      </c>
    </row>
    <row r="50" spans="1:9" x14ac:dyDescent="0.25">
      <c r="A50">
        <v>3</v>
      </c>
      <c r="B50" t="s">
        <v>155</v>
      </c>
      <c r="C50" t="s">
        <v>53</v>
      </c>
      <c r="D50" t="s">
        <v>85</v>
      </c>
      <c r="E50" t="s">
        <v>31</v>
      </c>
      <c r="F50" s="15">
        <v>36000</v>
      </c>
      <c r="G50">
        <v>31.75</v>
      </c>
      <c r="H50">
        <v>42</v>
      </c>
      <c r="I50" s="1">
        <v>1333.5</v>
      </c>
    </row>
    <row r="51" spans="1:9" x14ac:dyDescent="0.25">
      <c r="A51">
        <v>7</v>
      </c>
      <c r="B51" t="s">
        <v>71</v>
      </c>
      <c r="C51" t="s">
        <v>185</v>
      </c>
      <c r="D51" t="s">
        <v>75</v>
      </c>
      <c r="E51" t="s">
        <v>31</v>
      </c>
      <c r="F51" s="15">
        <v>35485</v>
      </c>
      <c r="G51">
        <v>27.1</v>
      </c>
      <c r="H51">
        <v>35</v>
      </c>
      <c r="I51" s="1">
        <v>948.5</v>
      </c>
    </row>
    <row r="52" spans="1:9" x14ac:dyDescent="0.25">
      <c r="A52">
        <v>11</v>
      </c>
      <c r="B52" t="s">
        <v>172</v>
      </c>
      <c r="C52" t="s">
        <v>173</v>
      </c>
      <c r="D52" t="s">
        <v>80</v>
      </c>
      <c r="E52" t="s">
        <v>31</v>
      </c>
      <c r="F52" s="15">
        <v>33822</v>
      </c>
      <c r="G52">
        <v>28.3</v>
      </c>
      <c r="H52">
        <v>35.5</v>
      </c>
      <c r="I52" s="1">
        <v>1004.65</v>
      </c>
    </row>
    <row r="53" spans="1:9" x14ac:dyDescent="0.25">
      <c r="A53">
        <v>15</v>
      </c>
      <c r="B53" t="s">
        <v>130</v>
      </c>
      <c r="C53" t="s">
        <v>169</v>
      </c>
      <c r="D53" t="s">
        <v>30</v>
      </c>
      <c r="E53" t="s">
        <v>31</v>
      </c>
      <c r="F53" s="15">
        <v>34858</v>
      </c>
      <c r="G53">
        <v>27.6</v>
      </c>
      <c r="H53">
        <v>40</v>
      </c>
      <c r="I53" s="1">
        <v>1104</v>
      </c>
    </row>
    <row r="54" spans="1:9" x14ac:dyDescent="0.25">
      <c r="A54">
        <v>19</v>
      </c>
      <c r="B54" t="s">
        <v>55</v>
      </c>
      <c r="C54" t="s">
        <v>56</v>
      </c>
      <c r="D54" t="s">
        <v>43</v>
      </c>
      <c r="E54" t="s">
        <v>31</v>
      </c>
      <c r="F54" s="15">
        <v>34871</v>
      </c>
      <c r="G54">
        <v>30</v>
      </c>
      <c r="H54">
        <v>40</v>
      </c>
      <c r="I54" s="1">
        <v>1200</v>
      </c>
    </row>
    <row r="55" spans="1:9" x14ac:dyDescent="0.25">
      <c r="A55">
        <v>23</v>
      </c>
      <c r="B55" t="s">
        <v>114</v>
      </c>
      <c r="C55" t="s">
        <v>115</v>
      </c>
      <c r="D55" t="s">
        <v>33</v>
      </c>
      <c r="E55" t="s">
        <v>31</v>
      </c>
      <c r="F55" s="15">
        <v>32573</v>
      </c>
      <c r="G55">
        <v>60</v>
      </c>
      <c r="H55">
        <v>40</v>
      </c>
      <c r="I55" s="1">
        <v>2400</v>
      </c>
    </row>
    <row r="56" spans="1:9" x14ac:dyDescent="0.25">
      <c r="A56">
        <v>27</v>
      </c>
      <c r="B56" t="s">
        <v>148</v>
      </c>
      <c r="C56" t="s">
        <v>149</v>
      </c>
      <c r="D56" t="s">
        <v>89</v>
      </c>
      <c r="E56" t="s">
        <v>31</v>
      </c>
      <c r="F56" s="15">
        <v>34279</v>
      </c>
      <c r="G56">
        <v>34.5</v>
      </c>
      <c r="H56">
        <v>40</v>
      </c>
      <c r="I56" s="1">
        <v>1380</v>
      </c>
    </row>
    <row r="57" spans="1:9" x14ac:dyDescent="0.25">
      <c r="A57">
        <v>31</v>
      </c>
      <c r="B57" t="s">
        <v>209</v>
      </c>
      <c r="C57" t="s">
        <v>210</v>
      </c>
      <c r="D57" t="s">
        <v>85</v>
      </c>
      <c r="E57" t="s">
        <v>31</v>
      </c>
      <c r="F57" s="15">
        <v>35775</v>
      </c>
      <c r="G57">
        <v>23.52</v>
      </c>
      <c r="H57">
        <v>25</v>
      </c>
      <c r="I57" s="1">
        <v>588</v>
      </c>
    </row>
    <row r="58" spans="1:9" x14ac:dyDescent="0.25">
      <c r="A58">
        <v>35</v>
      </c>
      <c r="B58" t="s">
        <v>124</v>
      </c>
      <c r="C58" t="s">
        <v>125</v>
      </c>
      <c r="D58" t="s">
        <v>75</v>
      </c>
      <c r="E58" t="s">
        <v>31</v>
      </c>
      <c r="F58" s="15">
        <v>35026</v>
      </c>
      <c r="G58">
        <v>55</v>
      </c>
      <c r="H58">
        <v>35.5</v>
      </c>
      <c r="I58" s="1">
        <v>1952.5</v>
      </c>
    </row>
    <row r="59" spans="1:9" x14ac:dyDescent="0.25">
      <c r="A59">
        <v>39</v>
      </c>
      <c r="B59" t="s">
        <v>140</v>
      </c>
      <c r="C59" t="s">
        <v>141</v>
      </c>
      <c r="D59" t="s">
        <v>80</v>
      </c>
      <c r="E59" t="s">
        <v>31</v>
      </c>
      <c r="F59" s="15">
        <v>35655</v>
      </c>
      <c r="G59">
        <v>37</v>
      </c>
      <c r="H59">
        <v>40</v>
      </c>
      <c r="I59" s="1">
        <v>1480</v>
      </c>
    </row>
    <row r="60" spans="1:9" x14ac:dyDescent="0.25">
      <c r="A60">
        <v>43</v>
      </c>
      <c r="B60" t="s">
        <v>108</v>
      </c>
      <c r="C60" t="s">
        <v>150</v>
      </c>
      <c r="D60" t="s">
        <v>30</v>
      </c>
      <c r="E60" t="s">
        <v>31</v>
      </c>
      <c r="F60" s="15">
        <v>34414</v>
      </c>
      <c r="G60">
        <v>39</v>
      </c>
      <c r="H60">
        <v>35</v>
      </c>
      <c r="I60" s="1">
        <v>1365</v>
      </c>
    </row>
    <row r="61" spans="1:9" x14ac:dyDescent="0.25">
      <c r="A61">
        <v>47</v>
      </c>
      <c r="B61" t="s">
        <v>69</v>
      </c>
      <c r="C61" t="s">
        <v>70</v>
      </c>
      <c r="D61" t="s">
        <v>43</v>
      </c>
      <c r="E61" t="s">
        <v>31</v>
      </c>
      <c r="F61" s="15">
        <v>34428</v>
      </c>
      <c r="G61">
        <v>23.52</v>
      </c>
      <c r="H61">
        <v>25</v>
      </c>
      <c r="I61" s="1">
        <v>588</v>
      </c>
    </row>
    <row r="62" spans="1:9" x14ac:dyDescent="0.25">
      <c r="A62">
        <v>51</v>
      </c>
      <c r="B62" t="s">
        <v>167</v>
      </c>
      <c r="C62" t="s">
        <v>168</v>
      </c>
      <c r="D62" t="s">
        <v>33</v>
      </c>
      <c r="E62" t="s">
        <v>31</v>
      </c>
      <c r="F62" s="15">
        <v>33704</v>
      </c>
      <c r="G62">
        <v>30.5</v>
      </c>
      <c r="H62">
        <v>38</v>
      </c>
      <c r="I62" s="1">
        <v>1159</v>
      </c>
    </row>
    <row r="63" spans="1:9" x14ac:dyDescent="0.25">
      <c r="A63">
        <v>55</v>
      </c>
      <c r="B63" t="s">
        <v>211</v>
      </c>
      <c r="C63" t="s">
        <v>212</v>
      </c>
      <c r="D63" t="s">
        <v>89</v>
      </c>
      <c r="E63" t="s">
        <v>31</v>
      </c>
      <c r="F63" s="15">
        <v>35221</v>
      </c>
      <c r="G63">
        <v>23.52</v>
      </c>
      <c r="H63">
        <v>25</v>
      </c>
      <c r="I63" s="1">
        <v>588</v>
      </c>
    </row>
    <row r="64" spans="1:9" x14ac:dyDescent="0.25">
      <c r="A64">
        <v>59</v>
      </c>
      <c r="B64" t="s">
        <v>128</v>
      </c>
      <c r="C64" t="s">
        <v>53</v>
      </c>
      <c r="D64" t="s">
        <v>85</v>
      </c>
      <c r="E64" t="s">
        <v>31</v>
      </c>
      <c r="F64" s="15">
        <v>34709</v>
      </c>
      <c r="G64">
        <v>45</v>
      </c>
      <c r="H64">
        <v>42</v>
      </c>
      <c r="I64" s="1">
        <v>1890</v>
      </c>
    </row>
    <row r="65" spans="1:9" x14ac:dyDescent="0.25">
      <c r="A65">
        <v>63</v>
      </c>
      <c r="B65" t="s">
        <v>162</v>
      </c>
      <c r="C65" t="s">
        <v>163</v>
      </c>
      <c r="D65" t="s">
        <v>75</v>
      </c>
      <c r="E65" t="s">
        <v>31</v>
      </c>
      <c r="F65" s="15">
        <v>33059</v>
      </c>
      <c r="G65">
        <v>30.5</v>
      </c>
      <c r="H65">
        <v>40</v>
      </c>
      <c r="I65" s="1">
        <v>1220</v>
      </c>
    </row>
    <row r="66" spans="1:9" x14ac:dyDescent="0.25">
      <c r="A66">
        <v>67</v>
      </c>
      <c r="B66" t="s">
        <v>206</v>
      </c>
      <c r="C66" t="s">
        <v>207</v>
      </c>
      <c r="D66" t="s">
        <v>80</v>
      </c>
      <c r="E66" t="s">
        <v>31</v>
      </c>
      <c r="F66" s="15">
        <v>35038</v>
      </c>
      <c r="G66">
        <v>21.5</v>
      </c>
      <c r="H66">
        <v>29.5</v>
      </c>
      <c r="I66" s="1">
        <v>634.25</v>
      </c>
    </row>
    <row r="67" spans="1:9" x14ac:dyDescent="0.25">
      <c r="A67">
        <v>71</v>
      </c>
      <c r="B67" t="s">
        <v>199</v>
      </c>
      <c r="C67" t="s">
        <v>200</v>
      </c>
      <c r="D67" t="s">
        <v>30</v>
      </c>
      <c r="E67" t="s">
        <v>31</v>
      </c>
      <c r="F67" s="15">
        <v>36312</v>
      </c>
      <c r="G67">
        <v>28.3</v>
      </c>
      <c r="H67">
        <v>29.5</v>
      </c>
      <c r="I67" s="1">
        <v>834.85</v>
      </c>
    </row>
    <row r="68" spans="1:9" x14ac:dyDescent="0.25">
      <c r="A68">
        <v>75</v>
      </c>
      <c r="B68" t="s">
        <v>61</v>
      </c>
      <c r="C68" t="s">
        <v>62</v>
      </c>
      <c r="D68" t="s">
        <v>43</v>
      </c>
      <c r="E68" t="s">
        <v>31</v>
      </c>
      <c r="F68" s="15">
        <v>33831</v>
      </c>
      <c r="G68">
        <v>31.75</v>
      </c>
      <c r="H68">
        <v>29.5</v>
      </c>
      <c r="I68" s="1">
        <v>936.625</v>
      </c>
    </row>
    <row r="69" spans="1:9" x14ac:dyDescent="0.25">
      <c r="A69">
        <v>79</v>
      </c>
      <c r="B69" t="s">
        <v>164</v>
      </c>
      <c r="C69" t="s">
        <v>165</v>
      </c>
      <c r="D69" t="s">
        <v>33</v>
      </c>
      <c r="E69" t="s">
        <v>31</v>
      </c>
      <c r="F69" s="15">
        <v>34171</v>
      </c>
      <c r="G69">
        <v>30</v>
      </c>
      <c r="H69">
        <v>40</v>
      </c>
      <c r="I69" s="1">
        <v>1200</v>
      </c>
    </row>
    <row r="70" spans="1:9" x14ac:dyDescent="0.25">
      <c r="A70">
        <v>83</v>
      </c>
      <c r="B70" t="s">
        <v>213</v>
      </c>
      <c r="C70" t="s">
        <v>214</v>
      </c>
      <c r="D70" t="s">
        <v>89</v>
      </c>
      <c r="E70" t="s">
        <v>31</v>
      </c>
      <c r="F70" s="15">
        <v>32568</v>
      </c>
      <c r="G70">
        <v>27.6</v>
      </c>
      <c r="H70">
        <v>15.5</v>
      </c>
      <c r="I70" s="1">
        <v>427.8</v>
      </c>
    </row>
    <row r="71" spans="1:9" x14ac:dyDescent="0.25">
      <c r="A71">
        <v>87</v>
      </c>
      <c r="B71" t="s">
        <v>116</v>
      </c>
      <c r="C71" t="s">
        <v>117</v>
      </c>
      <c r="D71" t="s">
        <v>85</v>
      </c>
      <c r="E71" t="s">
        <v>31</v>
      </c>
      <c r="F71" s="15">
        <v>35739</v>
      </c>
      <c r="G71">
        <v>60</v>
      </c>
      <c r="H71">
        <v>35</v>
      </c>
      <c r="I71" s="1">
        <v>2100</v>
      </c>
    </row>
    <row r="72" spans="1:9" x14ac:dyDescent="0.25">
      <c r="A72">
        <v>91</v>
      </c>
      <c r="B72" t="s">
        <v>57</v>
      </c>
      <c r="C72" t="s">
        <v>158</v>
      </c>
      <c r="D72" t="s">
        <v>75</v>
      </c>
      <c r="E72" t="s">
        <v>31</v>
      </c>
      <c r="F72" s="15">
        <v>35055</v>
      </c>
      <c r="G72">
        <v>31.75</v>
      </c>
      <c r="H72">
        <v>40</v>
      </c>
      <c r="I72" s="1">
        <v>1270</v>
      </c>
    </row>
    <row r="73" spans="1:9" x14ac:dyDescent="0.25">
      <c r="A73">
        <v>4</v>
      </c>
      <c r="B73" t="s">
        <v>178</v>
      </c>
      <c r="C73" t="s">
        <v>98</v>
      </c>
      <c r="D73" t="s">
        <v>80</v>
      </c>
      <c r="E73" t="s">
        <v>54</v>
      </c>
      <c r="F73" s="15">
        <v>35221</v>
      </c>
      <c r="G73">
        <v>23.75</v>
      </c>
      <c r="H73">
        <v>40</v>
      </c>
      <c r="I73" s="1">
        <v>950</v>
      </c>
    </row>
    <row r="74" spans="1:9" x14ac:dyDescent="0.25">
      <c r="A74">
        <v>8</v>
      </c>
      <c r="B74" t="s">
        <v>126</v>
      </c>
      <c r="C74" t="s">
        <v>127</v>
      </c>
      <c r="D74" t="s">
        <v>30</v>
      </c>
      <c r="E74" t="s">
        <v>54</v>
      </c>
      <c r="F74" s="15">
        <v>33341</v>
      </c>
      <c r="G74">
        <v>48</v>
      </c>
      <c r="H74">
        <v>40</v>
      </c>
      <c r="I74" s="1">
        <v>1920</v>
      </c>
    </row>
    <row r="75" spans="1:9" x14ac:dyDescent="0.25">
      <c r="A75">
        <v>12</v>
      </c>
      <c r="B75" t="s">
        <v>65</v>
      </c>
      <c r="C75" t="s">
        <v>66</v>
      </c>
      <c r="D75" t="s">
        <v>43</v>
      </c>
      <c r="E75" t="s">
        <v>54</v>
      </c>
      <c r="F75" s="15">
        <v>35888</v>
      </c>
      <c r="G75">
        <v>20.5</v>
      </c>
      <c r="H75">
        <v>32</v>
      </c>
      <c r="I75" s="1">
        <v>656</v>
      </c>
    </row>
    <row r="76" spans="1:9" x14ac:dyDescent="0.25">
      <c r="A76">
        <v>16</v>
      </c>
      <c r="B76" t="s">
        <v>122</v>
      </c>
      <c r="C76" t="s">
        <v>123</v>
      </c>
      <c r="D76" t="s">
        <v>33</v>
      </c>
      <c r="E76" t="s">
        <v>54</v>
      </c>
      <c r="F76" s="15">
        <v>34616</v>
      </c>
      <c r="G76">
        <v>55</v>
      </c>
      <c r="H76">
        <v>35.5</v>
      </c>
      <c r="I76" s="1">
        <v>1952.5</v>
      </c>
    </row>
    <row r="77" spans="1:9" x14ac:dyDescent="0.25">
      <c r="A77">
        <v>20</v>
      </c>
      <c r="B77" t="s">
        <v>167</v>
      </c>
      <c r="C77" t="s">
        <v>175</v>
      </c>
      <c r="D77" t="s">
        <v>89</v>
      </c>
      <c r="E77" t="s">
        <v>54</v>
      </c>
      <c r="F77" s="15">
        <v>34534</v>
      </c>
      <c r="G77">
        <v>27.5</v>
      </c>
      <c r="H77">
        <v>35.5</v>
      </c>
      <c r="I77" s="1">
        <v>976.25</v>
      </c>
    </row>
    <row r="78" spans="1:9" x14ac:dyDescent="0.25">
      <c r="A78">
        <v>24</v>
      </c>
      <c r="B78" t="s">
        <v>120</v>
      </c>
      <c r="C78" t="s">
        <v>121</v>
      </c>
      <c r="D78" t="s">
        <v>85</v>
      </c>
      <c r="E78" t="s">
        <v>54</v>
      </c>
      <c r="F78" s="15">
        <v>33700</v>
      </c>
      <c r="G78">
        <v>52</v>
      </c>
      <c r="H78">
        <v>40</v>
      </c>
      <c r="I78" s="1">
        <v>2080</v>
      </c>
    </row>
    <row r="79" spans="1:9" x14ac:dyDescent="0.25">
      <c r="A79">
        <v>28</v>
      </c>
      <c r="B79" t="s">
        <v>130</v>
      </c>
      <c r="C79" t="s">
        <v>131</v>
      </c>
      <c r="D79" t="s">
        <v>75</v>
      </c>
      <c r="E79" t="s">
        <v>54</v>
      </c>
      <c r="F79" s="15">
        <v>33497</v>
      </c>
      <c r="G79">
        <v>45</v>
      </c>
      <c r="H79">
        <v>40</v>
      </c>
      <c r="I79" s="1">
        <v>1800</v>
      </c>
    </row>
    <row r="80" spans="1:9" x14ac:dyDescent="0.25">
      <c r="A80">
        <v>32</v>
      </c>
      <c r="B80" t="s">
        <v>122</v>
      </c>
      <c r="C80" t="s">
        <v>53</v>
      </c>
      <c r="D80" t="s">
        <v>80</v>
      </c>
      <c r="E80" t="s">
        <v>54</v>
      </c>
      <c r="F80" s="15">
        <v>36194</v>
      </c>
      <c r="G80">
        <v>27.1</v>
      </c>
      <c r="H80">
        <v>35</v>
      </c>
      <c r="I80" s="1">
        <v>948.5</v>
      </c>
    </row>
    <row r="81" spans="1:9" x14ac:dyDescent="0.25">
      <c r="A81">
        <v>36</v>
      </c>
      <c r="B81" t="s">
        <v>176</v>
      </c>
      <c r="C81" t="s">
        <v>177</v>
      </c>
      <c r="D81" t="s">
        <v>30</v>
      </c>
      <c r="E81" t="s">
        <v>54</v>
      </c>
      <c r="F81" s="15">
        <v>34483</v>
      </c>
      <c r="G81">
        <v>23.75</v>
      </c>
      <c r="H81">
        <v>40</v>
      </c>
      <c r="I81" s="1">
        <v>950</v>
      </c>
    </row>
    <row r="82" spans="1:9" x14ac:dyDescent="0.25">
      <c r="A82">
        <v>40</v>
      </c>
      <c r="B82" t="s">
        <v>57</v>
      </c>
      <c r="C82" t="s">
        <v>58</v>
      </c>
      <c r="D82" t="s">
        <v>43</v>
      </c>
      <c r="E82" t="s">
        <v>54</v>
      </c>
      <c r="F82" s="15">
        <v>35005</v>
      </c>
      <c r="G82">
        <v>30.5</v>
      </c>
      <c r="H82">
        <v>38</v>
      </c>
      <c r="I82" s="1">
        <v>1159</v>
      </c>
    </row>
    <row r="83" spans="1:9" x14ac:dyDescent="0.25">
      <c r="A83">
        <v>44</v>
      </c>
      <c r="B83" t="s">
        <v>215</v>
      </c>
      <c r="C83" t="s">
        <v>216</v>
      </c>
      <c r="D83" t="s">
        <v>33</v>
      </c>
      <c r="E83" t="s">
        <v>54</v>
      </c>
      <c r="F83" s="15">
        <v>34671</v>
      </c>
      <c r="G83">
        <v>21.5</v>
      </c>
      <c r="H83">
        <v>15.5</v>
      </c>
      <c r="I83" s="1">
        <v>333.25</v>
      </c>
    </row>
    <row r="84" spans="1:9" x14ac:dyDescent="0.25">
      <c r="A84">
        <v>48</v>
      </c>
      <c r="B84" t="s">
        <v>118</v>
      </c>
      <c r="C84" t="s">
        <v>119</v>
      </c>
      <c r="D84" t="s">
        <v>89</v>
      </c>
      <c r="E84" t="s">
        <v>54</v>
      </c>
      <c r="F84" s="15">
        <v>34843</v>
      </c>
      <c r="G84">
        <v>55</v>
      </c>
      <c r="H84">
        <v>38</v>
      </c>
      <c r="I84" s="1">
        <v>2090</v>
      </c>
    </row>
    <row r="85" spans="1:9" x14ac:dyDescent="0.25">
      <c r="A85">
        <v>52</v>
      </c>
      <c r="B85" t="s">
        <v>142</v>
      </c>
      <c r="C85" t="s">
        <v>143</v>
      </c>
      <c r="D85" t="s">
        <v>85</v>
      </c>
      <c r="E85" t="s">
        <v>54</v>
      </c>
      <c r="F85" s="15">
        <v>34998</v>
      </c>
      <c r="G85">
        <v>36.5</v>
      </c>
      <c r="H85">
        <v>40</v>
      </c>
      <c r="I85" s="1">
        <v>1460</v>
      </c>
    </row>
    <row r="86" spans="1:9" x14ac:dyDescent="0.25">
      <c r="A86">
        <v>56</v>
      </c>
      <c r="B86" t="s">
        <v>144</v>
      </c>
      <c r="C86" t="s">
        <v>145</v>
      </c>
      <c r="D86" t="s">
        <v>75</v>
      </c>
      <c r="E86" t="s">
        <v>54</v>
      </c>
      <c r="F86" s="15">
        <v>36181</v>
      </c>
      <c r="G86">
        <v>36.5</v>
      </c>
      <c r="H86">
        <v>40</v>
      </c>
      <c r="I86" s="1">
        <v>1460</v>
      </c>
    </row>
    <row r="87" spans="1:9" x14ac:dyDescent="0.25">
      <c r="A87">
        <v>60</v>
      </c>
      <c r="B87" t="s">
        <v>179</v>
      </c>
      <c r="C87" t="s">
        <v>180</v>
      </c>
      <c r="D87" t="s">
        <v>80</v>
      </c>
      <c r="E87" t="s">
        <v>54</v>
      </c>
      <c r="F87" s="15">
        <v>34500</v>
      </c>
      <c r="G87">
        <v>23.75</v>
      </c>
      <c r="H87">
        <v>40</v>
      </c>
      <c r="I87" s="1">
        <v>950</v>
      </c>
    </row>
    <row r="88" spans="1:9" x14ac:dyDescent="0.25">
      <c r="A88">
        <v>64</v>
      </c>
      <c r="B88" t="s">
        <v>181</v>
      </c>
      <c r="C88" t="s">
        <v>182</v>
      </c>
      <c r="D88" t="s">
        <v>30</v>
      </c>
      <c r="E88" t="s">
        <v>54</v>
      </c>
      <c r="F88" s="15">
        <v>35390</v>
      </c>
      <c r="G88">
        <v>27.1</v>
      </c>
      <c r="H88">
        <v>35</v>
      </c>
      <c r="I88" s="1">
        <v>948.5</v>
      </c>
    </row>
    <row r="89" spans="1:9" x14ac:dyDescent="0.25">
      <c r="A89">
        <v>68</v>
      </c>
      <c r="B89" t="s">
        <v>52</v>
      </c>
      <c r="C89" t="s">
        <v>53</v>
      </c>
      <c r="D89" t="s">
        <v>43</v>
      </c>
      <c r="E89" t="s">
        <v>54</v>
      </c>
      <c r="F89" s="15">
        <v>35715</v>
      </c>
      <c r="G89">
        <v>35</v>
      </c>
      <c r="H89">
        <v>40</v>
      </c>
      <c r="I89" s="1">
        <v>1400</v>
      </c>
    </row>
    <row r="90" spans="1:9" x14ac:dyDescent="0.25">
      <c r="A90">
        <v>72</v>
      </c>
      <c r="B90" t="s">
        <v>192</v>
      </c>
      <c r="C90" t="s">
        <v>193</v>
      </c>
      <c r="D90" t="s">
        <v>33</v>
      </c>
      <c r="E90" t="s">
        <v>54</v>
      </c>
      <c r="F90" s="15">
        <v>34609</v>
      </c>
      <c r="G90">
        <v>21.5</v>
      </c>
      <c r="H90">
        <v>40</v>
      </c>
      <c r="I90" s="1">
        <v>860</v>
      </c>
    </row>
    <row r="91" spans="1:9" x14ac:dyDescent="0.25">
      <c r="A91">
        <v>76</v>
      </c>
      <c r="B91" t="s">
        <v>194</v>
      </c>
      <c r="C91" t="s">
        <v>195</v>
      </c>
      <c r="D91" t="s">
        <v>89</v>
      </c>
      <c r="E91" t="s">
        <v>54</v>
      </c>
      <c r="F91" s="15">
        <v>35728</v>
      </c>
      <c r="G91">
        <v>21.5</v>
      </c>
      <c r="H91">
        <v>40</v>
      </c>
      <c r="I91" s="1">
        <v>860</v>
      </c>
    </row>
    <row r="92" spans="1:9" x14ac:dyDescent="0.25">
      <c r="A92">
        <v>80</v>
      </c>
      <c r="B92" t="s">
        <v>196</v>
      </c>
      <c r="C92" t="s">
        <v>197</v>
      </c>
      <c r="D92" t="s">
        <v>85</v>
      </c>
      <c r="E92" t="s">
        <v>54</v>
      </c>
      <c r="F92" s="15">
        <v>44877</v>
      </c>
      <c r="G92">
        <v>21.5</v>
      </c>
      <c r="H92">
        <v>40</v>
      </c>
      <c r="I92" s="1">
        <v>860</v>
      </c>
    </row>
    <row r="93" spans="1:9" x14ac:dyDescent="0.25">
      <c r="A93">
        <v>84</v>
      </c>
      <c r="B93" t="s">
        <v>201</v>
      </c>
      <c r="C93" t="s">
        <v>202</v>
      </c>
      <c r="D93" t="s">
        <v>75</v>
      </c>
      <c r="E93" t="s">
        <v>54</v>
      </c>
      <c r="F93" s="15">
        <v>34673</v>
      </c>
      <c r="G93">
        <v>23.75</v>
      </c>
      <c r="H93">
        <v>32</v>
      </c>
      <c r="I93" s="1">
        <v>760</v>
      </c>
    </row>
    <row r="94" spans="1:9" x14ac:dyDescent="0.25">
      <c r="A94">
        <v>88</v>
      </c>
      <c r="B94" t="s">
        <v>78</v>
      </c>
      <c r="C94" t="s">
        <v>198</v>
      </c>
      <c r="D94" t="s">
        <v>80</v>
      </c>
      <c r="E94" t="s">
        <v>54</v>
      </c>
      <c r="F94" s="15">
        <v>31884</v>
      </c>
      <c r="G94">
        <v>21.5</v>
      </c>
      <c r="H94">
        <v>40</v>
      </c>
      <c r="I94" s="1">
        <v>860</v>
      </c>
    </row>
    <row r="95" spans="1:9" x14ac:dyDescent="0.25">
      <c r="A95">
        <v>92</v>
      </c>
      <c r="B95" t="s">
        <v>188</v>
      </c>
      <c r="C95" t="s">
        <v>189</v>
      </c>
      <c r="D95" t="s">
        <v>30</v>
      </c>
      <c r="E95" t="s">
        <v>54</v>
      </c>
      <c r="F95" s="15">
        <v>33568</v>
      </c>
      <c r="G95">
        <v>22.22</v>
      </c>
      <c r="H95">
        <v>40</v>
      </c>
      <c r="I95" s="1">
        <v>888.8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lateData">
                <anchor moveWithCells="1" sizeWithCells="1">
                  <from>
                    <xdr:col>13</xdr:col>
                    <xdr:colOff>76200</xdr:colOff>
                    <xdr:row>1</xdr:row>
                    <xdr:rowOff>57150</xdr:rowOff>
                  </from>
                  <to>
                    <xdr:col>15</xdr:col>
                    <xdr:colOff>561975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76931-61D2-46E9-96FA-D7781CED5B31}">
  <sheetPr codeName="Sheet7"/>
  <dimension ref="A1:L26"/>
  <sheetViews>
    <sheetView tabSelected="1" zoomScaleNormal="100" workbookViewId="0">
      <selection activeCell="N10" sqref="N10"/>
    </sheetView>
  </sheetViews>
  <sheetFormatPr defaultRowHeight="15" x14ac:dyDescent="0.25"/>
  <cols>
    <col min="1" max="1" width="18.140625" customWidth="1"/>
  </cols>
  <sheetData>
    <row r="1" spans="1:12" x14ac:dyDescent="0.25">
      <c r="A1" s="1">
        <v>987654321</v>
      </c>
      <c r="B1" t="str" cm="1">
        <f t="array" ref="B1">RupeeFormat(A1)</f>
        <v xml:space="preserve"> Rupees Ninety Eight Crores Seventy Six Lacs Fifty Four Thousand  Three Hundred Twenty One Only</v>
      </c>
    </row>
    <row r="2" spans="1:12" x14ac:dyDescent="0.25">
      <c r="L2">
        <v>1</v>
      </c>
    </row>
    <row r="3" spans="1:12" x14ac:dyDescent="0.25">
      <c r="B3" t="s">
        <v>20</v>
      </c>
      <c r="C3" t="s">
        <v>20</v>
      </c>
      <c r="D3" t="s">
        <v>20</v>
      </c>
      <c r="E3" t="s">
        <v>20</v>
      </c>
      <c r="F3" t="s">
        <v>20</v>
      </c>
      <c r="G3" t="s">
        <v>20</v>
      </c>
      <c r="H3" t="s">
        <v>20</v>
      </c>
      <c r="L3">
        <v>2</v>
      </c>
    </row>
    <row r="4" spans="1:12" x14ac:dyDescent="0.25">
      <c r="B4" t="s">
        <v>20</v>
      </c>
      <c r="C4" t="s">
        <v>217</v>
      </c>
      <c r="D4" t="s">
        <v>217</v>
      </c>
      <c r="E4" t="s">
        <v>217</v>
      </c>
      <c r="F4" t="s">
        <v>217</v>
      </c>
      <c r="G4" t="s">
        <v>217</v>
      </c>
      <c r="H4" t="s">
        <v>20</v>
      </c>
      <c r="L4">
        <v>3</v>
      </c>
    </row>
    <row r="5" spans="1:12" x14ac:dyDescent="0.25">
      <c r="B5" t="s">
        <v>20</v>
      </c>
      <c r="C5" t="s">
        <v>20</v>
      </c>
      <c r="D5" t="s">
        <v>20</v>
      </c>
      <c r="E5" t="s">
        <v>20</v>
      </c>
      <c r="F5" t="s">
        <v>20</v>
      </c>
      <c r="G5" t="s">
        <v>217</v>
      </c>
      <c r="H5" t="s">
        <v>20</v>
      </c>
      <c r="L5">
        <v>4</v>
      </c>
    </row>
    <row r="6" spans="1:12" x14ac:dyDescent="0.25">
      <c r="B6" t="s">
        <v>20</v>
      </c>
      <c r="C6" t="s">
        <v>20</v>
      </c>
      <c r="D6" t="s">
        <v>20</v>
      </c>
      <c r="E6" t="s">
        <v>20</v>
      </c>
      <c r="F6" t="s">
        <v>20</v>
      </c>
      <c r="G6" t="s">
        <v>217</v>
      </c>
      <c r="H6" t="s">
        <v>20</v>
      </c>
      <c r="L6">
        <v>5</v>
      </c>
    </row>
    <row r="7" spans="1:12" x14ac:dyDescent="0.25">
      <c r="B7" t="s">
        <v>20</v>
      </c>
      <c r="C7" t="s">
        <v>20</v>
      </c>
      <c r="D7" t="s">
        <v>20</v>
      </c>
      <c r="E7" t="s">
        <v>20</v>
      </c>
      <c r="F7" t="s">
        <v>20</v>
      </c>
      <c r="G7" t="s">
        <v>217</v>
      </c>
      <c r="H7" t="s">
        <v>20</v>
      </c>
      <c r="L7">
        <v>6</v>
      </c>
    </row>
    <row r="8" spans="1:12" x14ac:dyDescent="0.25">
      <c r="B8" t="s">
        <v>20</v>
      </c>
      <c r="C8" t="s">
        <v>20</v>
      </c>
      <c r="D8" t="s">
        <v>20</v>
      </c>
      <c r="E8" t="s">
        <v>20</v>
      </c>
      <c r="F8" t="s">
        <v>20</v>
      </c>
      <c r="G8" t="s">
        <v>217</v>
      </c>
      <c r="H8" t="s">
        <v>20</v>
      </c>
      <c r="L8">
        <v>7</v>
      </c>
    </row>
    <row r="9" spans="1:12" x14ac:dyDescent="0.25">
      <c r="B9" t="s">
        <v>20</v>
      </c>
      <c r="C9" t="s">
        <v>20</v>
      </c>
      <c r="D9" t="s">
        <v>20</v>
      </c>
      <c r="E9" t="s">
        <v>20</v>
      </c>
      <c r="F9" t="s">
        <v>20</v>
      </c>
      <c r="G9" t="s">
        <v>217</v>
      </c>
      <c r="H9" t="s">
        <v>20</v>
      </c>
      <c r="L9">
        <v>8</v>
      </c>
    </row>
    <row r="10" spans="1:12" x14ac:dyDescent="0.25">
      <c r="B10" t="s">
        <v>20</v>
      </c>
      <c r="C10" t="s">
        <v>20</v>
      </c>
      <c r="D10" t="s">
        <v>20</v>
      </c>
      <c r="E10" t="s">
        <v>20</v>
      </c>
      <c r="F10" t="s">
        <v>20</v>
      </c>
      <c r="G10" t="s">
        <v>217</v>
      </c>
      <c r="H10" t="s">
        <v>20</v>
      </c>
      <c r="L10">
        <v>9</v>
      </c>
    </row>
    <row r="11" spans="1:12" x14ac:dyDescent="0.25">
      <c r="B11" t="s">
        <v>20</v>
      </c>
      <c r="C11" t="s">
        <v>217</v>
      </c>
      <c r="D11" t="s">
        <v>217</v>
      </c>
      <c r="E11" t="s">
        <v>217</v>
      </c>
      <c r="F11" t="s">
        <v>217</v>
      </c>
      <c r="G11" t="s">
        <v>217</v>
      </c>
      <c r="H11" t="s">
        <v>20</v>
      </c>
      <c r="L11">
        <v>10</v>
      </c>
    </row>
    <row r="12" spans="1:12" x14ac:dyDescent="0.25">
      <c r="B12" t="s">
        <v>20</v>
      </c>
      <c r="C12" t="s">
        <v>20</v>
      </c>
      <c r="D12" t="s">
        <v>20</v>
      </c>
      <c r="E12" t="s">
        <v>20</v>
      </c>
      <c r="F12" t="s">
        <v>20</v>
      </c>
      <c r="G12" t="s">
        <v>20</v>
      </c>
      <c r="H12" t="s">
        <v>20</v>
      </c>
      <c r="L12">
        <v>11</v>
      </c>
    </row>
    <row r="13" spans="1:12" x14ac:dyDescent="0.25">
      <c r="B13" t="s">
        <v>20</v>
      </c>
      <c r="C13" t="s">
        <v>20</v>
      </c>
      <c r="D13" t="s">
        <v>20</v>
      </c>
      <c r="E13" t="s">
        <v>20</v>
      </c>
      <c r="F13" t="s">
        <v>20</v>
      </c>
      <c r="G13" t="s">
        <v>20</v>
      </c>
      <c r="H13" t="s">
        <v>20</v>
      </c>
      <c r="L13">
        <v>12</v>
      </c>
    </row>
    <row r="14" spans="1:12" x14ac:dyDescent="0.25">
      <c r="B14" t="s">
        <v>20</v>
      </c>
      <c r="C14" t="s">
        <v>20</v>
      </c>
      <c r="D14" t="s">
        <v>20</v>
      </c>
      <c r="E14" t="s">
        <v>20</v>
      </c>
      <c r="F14" t="s">
        <v>20</v>
      </c>
      <c r="G14" t="s">
        <v>20</v>
      </c>
      <c r="H14" t="s">
        <v>20</v>
      </c>
      <c r="L14">
        <v>13</v>
      </c>
    </row>
    <row r="15" spans="1:12" x14ac:dyDescent="0.25">
      <c r="L15">
        <v>14</v>
      </c>
    </row>
    <row r="16" spans="1:12" x14ac:dyDescent="0.25">
      <c r="L16">
        <v>15</v>
      </c>
    </row>
    <row r="17" spans="12:12" x14ac:dyDescent="0.25">
      <c r="L17">
        <v>16</v>
      </c>
    </row>
    <row r="18" spans="12:12" x14ac:dyDescent="0.25">
      <c r="L18">
        <v>17</v>
      </c>
    </row>
    <row r="19" spans="12:12" x14ac:dyDescent="0.25">
      <c r="L19">
        <v>18</v>
      </c>
    </row>
    <row r="20" spans="12:12" x14ac:dyDescent="0.25">
      <c r="L20">
        <v>19</v>
      </c>
    </row>
    <row r="21" spans="12:12" x14ac:dyDescent="0.25">
      <c r="L21">
        <v>20</v>
      </c>
    </row>
    <row r="22" spans="12:12" x14ac:dyDescent="0.25">
      <c r="L22">
        <v>21</v>
      </c>
    </row>
    <row r="23" spans="12:12" x14ac:dyDescent="0.25">
      <c r="L23">
        <v>22</v>
      </c>
    </row>
    <row r="24" spans="12:12" x14ac:dyDescent="0.25">
      <c r="L24">
        <v>23</v>
      </c>
    </row>
    <row r="25" spans="12:12" x14ac:dyDescent="0.25">
      <c r="L25">
        <v>24</v>
      </c>
    </row>
    <row r="26" spans="12:12" x14ac:dyDescent="0.25">
      <c r="L26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Tools</vt:lpstr>
      <vt:lpstr>Recording</vt:lpstr>
      <vt:lpstr>Form</vt:lpstr>
      <vt:lpstr>Data</vt:lpstr>
      <vt:lpstr>Relative</vt:lpstr>
      <vt:lpstr>North</vt:lpstr>
      <vt:lpstr>East</vt:lpstr>
      <vt:lpstr>West</vt:lpstr>
      <vt:lpstr>South</vt:lpstr>
      <vt:lpstr>Master</vt:lpstr>
      <vt:lpstr>Coding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Jayakrishnan Nair</dc:creator>
  <cp:lastModifiedBy>Jayakrishnan Nair</cp:lastModifiedBy>
  <dcterms:created xsi:type="dcterms:W3CDTF">2022-11-19T05:40:22Z</dcterms:created>
  <dcterms:modified xsi:type="dcterms:W3CDTF">2022-11-20T06:22:27Z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ileName">
    <vt:lpwstr/>
  </property>
</Properties>
</file>