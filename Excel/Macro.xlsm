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1 JK\Others\JK Data\ExcelR\02-Jun-2022 7.00 AM to 9.00 AM\"/>
    </mc:Choice>
  </mc:AlternateContent>
  <xr:revisionPtr revIDLastSave="0" documentId="13_ncr:1_{BD06DC28-EE56-4102-867C-F5CACC635D54}" xr6:coauthVersionLast="46" xr6:coauthVersionMax="46" xr10:uidLastSave="{00000000-0000-0000-0000-000000000000}"/>
  <bookViews>
    <workbookView xWindow="-20610" yWindow="-120" windowWidth="20730" windowHeight="11160" activeTab="4" xr2:uid="{0D3E6476-2799-4EA0-AB40-8CC8876C4D68}"/>
  </bookViews>
  <sheets>
    <sheet name="Tool Box" sheetId="1" r:id="rId1"/>
    <sheet name="Macro Recording" sheetId="2" r:id="rId2"/>
    <sheet name="Invoice" sheetId="3" r:id="rId3"/>
    <sheet name="Advance Filter" sheetId="4" r:id="rId4"/>
    <sheet name="Form" sheetId="5" r:id="rId5"/>
    <sheet name="Data" sheetId="6" r:id="rId6"/>
  </sheets>
  <definedNames>
    <definedName name="_xlnm._FilterDatabase" localSheetId="3" hidden="1">'Advance Filter'!$A$5:$J$99</definedName>
    <definedName name="_xlnm.Criteria" localSheetId="3">'Advance Filter'!$A$1:$J$4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9" i="4" l="1"/>
  <c r="I99" i="4"/>
  <c r="J98" i="4"/>
  <c r="I98" i="4"/>
  <c r="J97" i="4"/>
  <c r="I97" i="4"/>
  <c r="J96" i="4"/>
  <c r="I96" i="4"/>
  <c r="J95" i="4"/>
  <c r="I95" i="4"/>
  <c r="J94" i="4"/>
  <c r="I94" i="4"/>
  <c r="J93" i="4"/>
  <c r="I93" i="4"/>
  <c r="J92" i="4"/>
  <c r="I92" i="4"/>
  <c r="J91" i="4"/>
  <c r="I91" i="4"/>
  <c r="J90" i="4"/>
  <c r="I90" i="4"/>
  <c r="J89" i="4"/>
  <c r="I89" i="4"/>
  <c r="J88" i="4"/>
  <c r="I88" i="4"/>
  <c r="J87" i="4"/>
  <c r="I87" i="4"/>
  <c r="J62" i="4"/>
  <c r="I62" i="4"/>
  <c r="J85" i="4"/>
  <c r="I85" i="4"/>
  <c r="J84" i="4"/>
  <c r="I84" i="4"/>
  <c r="J83" i="4"/>
  <c r="I83" i="4"/>
  <c r="J82" i="4"/>
  <c r="I82" i="4"/>
  <c r="J81" i="4"/>
  <c r="I81" i="4"/>
  <c r="J80" i="4"/>
  <c r="I80" i="4"/>
  <c r="J79" i="4"/>
  <c r="I79" i="4"/>
  <c r="J78" i="4"/>
  <c r="I78" i="4"/>
  <c r="J86" i="4"/>
  <c r="I86" i="4"/>
  <c r="J76" i="4"/>
  <c r="I76" i="4"/>
  <c r="J75" i="4"/>
  <c r="I75" i="4"/>
  <c r="J74" i="4"/>
  <c r="I74" i="4"/>
  <c r="J77" i="4"/>
  <c r="I77" i="4"/>
  <c r="J72" i="4"/>
  <c r="I72" i="4"/>
  <c r="J71" i="4"/>
  <c r="I71" i="4"/>
  <c r="J70" i="4"/>
  <c r="I70" i="4"/>
  <c r="J69" i="4"/>
  <c r="I69" i="4"/>
  <c r="J68" i="4"/>
  <c r="I68" i="4"/>
  <c r="J67" i="4"/>
  <c r="I67" i="4"/>
  <c r="J41" i="4"/>
  <c r="I41" i="4"/>
  <c r="J65" i="4"/>
  <c r="I65" i="4"/>
  <c r="J64" i="4"/>
  <c r="I64" i="4"/>
  <c r="J63" i="4"/>
  <c r="I63" i="4"/>
  <c r="J34" i="4"/>
  <c r="I34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73" i="4"/>
  <c r="I73" i="4"/>
  <c r="J40" i="4"/>
  <c r="I40" i="4"/>
  <c r="J39" i="4"/>
  <c r="I39" i="4"/>
  <c r="J38" i="4"/>
  <c r="I38" i="4"/>
  <c r="J37" i="4"/>
  <c r="I37" i="4"/>
  <c r="J36" i="4"/>
  <c r="I36" i="4"/>
  <c r="J35" i="4"/>
  <c r="I35" i="4"/>
  <c r="J26" i="4"/>
  <c r="I26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1" i="4"/>
  <c r="I21" i="4"/>
  <c r="J25" i="4"/>
  <c r="I25" i="4"/>
  <c r="J24" i="4"/>
  <c r="I24" i="4"/>
  <c r="J23" i="4"/>
  <c r="I23" i="4"/>
  <c r="J22" i="4"/>
  <c r="I22" i="4"/>
  <c r="J66" i="4"/>
  <c r="I66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I20" i="1" l="1"/>
  <c r="G6" i="1"/>
  <c r="I21" i="1"/>
  <c r="I22" i="1"/>
  <c r="I23" i="1"/>
  <c r="F6" i="1"/>
  <c r="H6" i="1"/>
  <c r="I6" i="1" s="1"/>
  <c r="J6" i="1" s="1"/>
  <c r="K6" i="1" s="1"/>
  <c r="L6" i="1" s="1"/>
  <c r="M6" i="1" s="1"/>
  <c r="F8" i="1"/>
  <c r="F9" i="1" s="1"/>
  <c r="F10" i="1" s="1"/>
  <c r="F11" i="1" s="1"/>
  <c r="F12" i="1" s="1"/>
  <c r="F13" i="1" s="1"/>
  <c r="F14" i="1" s="1"/>
  <c r="F15" i="1" s="1"/>
  <c r="F5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I25" i="1" l="1"/>
  <c r="I26" i="1" s="1"/>
  <c r="M9" i="1"/>
  <c r="G9" i="1"/>
  <c r="M10" i="1"/>
  <c r="L14" i="1"/>
  <c r="H8" i="1"/>
  <c r="M15" i="1"/>
  <c r="M11" i="1"/>
  <c r="K10" i="1"/>
  <c r="J14" i="1"/>
  <c r="J10" i="1"/>
  <c r="L7" i="1"/>
  <c r="I12" i="1"/>
  <c r="G7" i="1"/>
  <c r="K7" i="1"/>
  <c r="M14" i="1"/>
  <c r="K9" i="1"/>
  <c r="J13" i="1"/>
  <c r="L10" i="1"/>
  <c r="G15" i="1"/>
  <c r="I13" i="1"/>
  <c r="M7" i="1"/>
  <c r="G14" i="1"/>
  <c r="K15" i="1"/>
  <c r="M12" i="1"/>
  <c r="I10" i="1"/>
  <c r="H14" i="1"/>
  <c r="L8" i="1"/>
  <c r="J7" i="1"/>
  <c r="K13" i="1"/>
  <c r="I8" i="1"/>
  <c r="G8" i="1"/>
  <c r="H12" i="1"/>
  <c r="J9" i="1"/>
  <c r="K14" i="1"/>
  <c r="I9" i="1"/>
  <c r="L15" i="1"/>
  <c r="H13" i="1"/>
  <c r="L11" i="1"/>
  <c r="H9" i="1"/>
  <c r="G13" i="1"/>
  <c r="I14" i="1"/>
  <c r="K11" i="1"/>
  <c r="M8" i="1"/>
  <c r="G12" i="1"/>
  <c r="J15" i="1"/>
  <c r="L12" i="1"/>
  <c r="J11" i="1"/>
  <c r="H10" i="1"/>
  <c r="G11" i="1"/>
  <c r="I15" i="1"/>
  <c r="M13" i="1"/>
  <c r="K12" i="1"/>
  <c r="I11" i="1"/>
  <c r="K8" i="1"/>
  <c r="I7" i="1"/>
  <c r="G10" i="1"/>
  <c r="H15" i="1"/>
  <c r="L13" i="1"/>
  <c r="J12" i="1"/>
  <c r="H11" i="1"/>
  <c r="L9" i="1"/>
  <c r="J8" i="1"/>
  <c r="H7" i="1"/>
</calcChain>
</file>

<file path=xl/sharedStrings.xml><?xml version="1.0" encoding="utf-8"?>
<sst xmlns="http://schemas.openxmlformats.org/spreadsheetml/2006/main" count="521" uniqueCount="220">
  <si>
    <t>PV</t>
  </si>
  <si>
    <t>Rate (Year)</t>
  </si>
  <si>
    <t>Tenure</t>
  </si>
  <si>
    <t>Months</t>
  </si>
  <si>
    <t>EMI</t>
  </si>
  <si>
    <t>Approval</t>
  </si>
  <si>
    <t>Exl List</t>
  </si>
  <si>
    <t>Exp Amt</t>
  </si>
  <si>
    <t>Travel</t>
  </si>
  <si>
    <t>Food</t>
  </si>
  <si>
    <t>Hotel</t>
  </si>
  <si>
    <t>Overheads</t>
  </si>
  <si>
    <t>Total Exp</t>
  </si>
  <si>
    <t>Agreed Value</t>
  </si>
  <si>
    <t>abc</t>
  </si>
  <si>
    <t>Company Name</t>
  </si>
  <si>
    <t>From Address</t>
  </si>
  <si>
    <t>Sr No</t>
  </si>
  <si>
    <t>Index</t>
  </si>
  <si>
    <t>Cost</t>
  </si>
  <si>
    <t>Total</t>
  </si>
  <si>
    <t>Unit</t>
  </si>
  <si>
    <t>NUM</t>
  </si>
  <si>
    <t>FIRST</t>
  </si>
  <si>
    <t>LAST</t>
  </si>
  <si>
    <t>DATE of HIRE</t>
  </si>
  <si>
    <t>DEPT</t>
  </si>
  <si>
    <t>HRS</t>
  </si>
  <si>
    <t>HOURLY RATE</t>
  </si>
  <si>
    <t>GROSS PAY</t>
  </si>
  <si>
    <t>Week Day</t>
  </si>
  <si>
    <t>Jayakrishnan</t>
  </si>
  <si>
    <t>Nair</t>
  </si>
  <si>
    <t>Sean</t>
  </si>
  <si>
    <t>Willis</t>
  </si>
  <si>
    <t>Sat</t>
  </si>
  <si>
    <t>Colleen</t>
  </si>
  <si>
    <t>Abel</t>
  </si>
  <si>
    <t>Teri</t>
  </si>
  <si>
    <t>Binga</t>
  </si>
  <si>
    <t>Frank</t>
  </si>
  <si>
    <t>Culbert</t>
  </si>
  <si>
    <t>Kristen</t>
  </si>
  <si>
    <t>DeVinney</t>
  </si>
  <si>
    <t>Theresa</t>
  </si>
  <si>
    <t>Califano</t>
  </si>
  <si>
    <t>Barry</t>
  </si>
  <si>
    <t>Bally</t>
  </si>
  <si>
    <t>Cheryl</t>
  </si>
  <si>
    <t>Halal</t>
  </si>
  <si>
    <t>Harry</t>
  </si>
  <si>
    <t>Swayne</t>
  </si>
  <si>
    <t>Shing</t>
  </si>
  <si>
    <t>Chen</t>
  </si>
  <si>
    <t>Seth</t>
  </si>
  <si>
    <t>Rose</t>
  </si>
  <si>
    <t>Bob</t>
  </si>
  <si>
    <t>Ambrose</t>
  </si>
  <si>
    <t>Chris</t>
  </si>
  <si>
    <t>Hume</t>
  </si>
  <si>
    <t>Robert</t>
  </si>
  <si>
    <t>Murray</t>
  </si>
  <si>
    <t>James</t>
  </si>
  <si>
    <t>Rich</t>
  </si>
  <si>
    <t>George</t>
  </si>
  <si>
    <t>Gorski</t>
  </si>
  <si>
    <t>Paul</t>
  </si>
  <si>
    <t>Hoffman</t>
  </si>
  <si>
    <t>Dean</t>
  </si>
  <si>
    <t>Kramer</t>
  </si>
  <si>
    <t>Carol</t>
  </si>
  <si>
    <t>Hill</t>
  </si>
  <si>
    <t>Julia</t>
  </si>
  <si>
    <t>Smith</t>
  </si>
  <si>
    <t>Jacqueline</t>
  </si>
  <si>
    <t>Banks</t>
  </si>
  <si>
    <t>Jeffrey</t>
  </si>
  <si>
    <t>Strong</t>
  </si>
  <si>
    <t>Jeri Lynn</t>
  </si>
  <si>
    <t>MacFall</t>
  </si>
  <si>
    <t>Sung</t>
  </si>
  <si>
    <t>Kim</t>
  </si>
  <si>
    <t>Theodore</t>
  </si>
  <si>
    <t>Ness</t>
  </si>
  <si>
    <t>Brad</t>
  </si>
  <si>
    <t>Hinkelman</t>
  </si>
  <si>
    <t>Cuffaro</t>
  </si>
  <si>
    <t>Donald</t>
  </si>
  <si>
    <t>Reese</t>
  </si>
  <si>
    <t>Joanne</t>
  </si>
  <si>
    <t>Parker</t>
  </si>
  <si>
    <t>Susan</t>
  </si>
  <si>
    <t>Drake</t>
  </si>
  <si>
    <t>Laura</t>
  </si>
  <si>
    <t>Reagan</t>
  </si>
  <si>
    <t>Brian</t>
  </si>
  <si>
    <t>Mary</t>
  </si>
  <si>
    <t>Barber</t>
  </si>
  <si>
    <t>Peter</t>
  </si>
  <si>
    <t>Allen</t>
  </si>
  <si>
    <t>Altman</t>
  </si>
  <si>
    <t>Fred</t>
  </si>
  <si>
    <t>Mallory</t>
  </si>
  <si>
    <t>Molly</t>
  </si>
  <si>
    <t>Steadman</t>
  </si>
  <si>
    <t>Greg</t>
  </si>
  <si>
    <t>Connors</t>
  </si>
  <si>
    <t>Kathy</t>
  </si>
  <si>
    <t>Mayron</t>
  </si>
  <si>
    <t>Bill</t>
  </si>
  <si>
    <t>Simpson</t>
  </si>
  <si>
    <t>Michael</t>
  </si>
  <si>
    <t>Richardson</t>
  </si>
  <si>
    <t>Melanie</t>
  </si>
  <si>
    <t>Bowers</t>
  </si>
  <si>
    <t>Kyle</t>
  </si>
  <si>
    <t>Earnhart</t>
  </si>
  <si>
    <t>Lance</t>
  </si>
  <si>
    <t>Davies</t>
  </si>
  <si>
    <t>Anne</t>
  </si>
  <si>
    <t>Davidson</t>
  </si>
  <si>
    <t>Doug</t>
  </si>
  <si>
    <t>Briscoll</t>
  </si>
  <si>
    <t>Feldsott</t>
  </si>
  <si>
    <t>Steve</t>
  </si>
  <si>
    <t>Singer</t>
  </si>
  <si>
    <t>Tucker</t>
  </si>
  <si>
    <t>Henry</t>
  </si>
  <si>
    <t>Paterson</t>
  </si>
  <si>
    <t>Brooks</t>
  </si>
  <si>
    <t>Hillen</t>
  </si>
  <si>
    <t>Dominick</t>
  </si>
  <si>
    <t>Mazza</t>
  </si>
  <si>
    <t>Jennifer</t>
  </si>
  <si>
    <t>Snyder</t>
  </si>
  <si>
    <t>Joshua</t>
  </si>
  <si>
    <t>Maccaluso</t>
  </si>
  <si>
    <t>Wheeler</t>
  </si>
  <si>
    <t>Todd</t>
  </si>
  <si>
    <t>Masters</t>
  </si>
  <si>
    <t>Karina</t>
  </si>
  <si>
    <t>Edward</t>
  </si>
  <si>
    <t>Trelly</t>
  </si>
  <si>
    <t>Christina</t>
  </si>
  <si>
    <t>Lillie</t>
  </si>
  <si>
    <t>Lewis</t>
  </si>
  <si>
    <t>Jerry</t>
  </si>
  <si>
    <t>McDonald</t>
  </si>
  <si>
    <t>Lynne</t>
  </si>
  <si>
    <t>Simmons</t>
  </si>
  <si>
    <t>Lindsey</t>
  </si>
  <si>
    <t>Winger</t>
  </si>
  <si>
    <t>Reed</t>
  </si>
  <si>
    <t>Paula</t>
  </si>
  <si>
    <t>Robinson</t>
  </si>
  <si>
    <t>William</t>
  </si>
  <si>
    <t>Shirley</t>
  </si>
  <si>
    <t>Dandrow</t>
  </si>
  <si>
    <t>Maria</t>
  </si>
  <si>
    <t>Switzer</t>
  </si>
  <si>
    <t>John</t>
  </si>
  <si>
    <t>Jacobs</t>
  </si>
  <si>
    <t>Bradley</t>
  </si>
  <si>
    <t>Howard</t>
  </si>
  <si>
    <t>Frieda</t>
  </si>
  <si>
    <t>Holly</t>
  </si>
  <si>
    <t>Taylor</t>
  </si>
  <si>
    <t>Tim</t>
  </si>
  <si>
    <t>Barthoff</t>
  </si>
  <si>
    <t>Esther</t>
  </si>
  <si>
    <t>Williams</t>
  </si>
  <si>
    <t>Miller</t>
  </si>
  <si>
    <t>Marianne</t>
  </si>
  <si>
    <t>Calvin</t>
  </si>
  <si>
    <t>Grace</t>
  </si>
  <si>
    <t>Sloan</t>
  </si>
  <si>
    <t>Richard</t>
  </si>
  <si>
    <t>Gibbs</t>
  </si>
  <si>
    <t>Lorrie</t>
  </si>
  <si>
    <t>Sullivan</t>
  </si>
  <si>
    <t>Ted</t>
  </si>
  <si>
    <t>Hayes</t>
  </si>
  <si>
    <t>Helen</t>
  </si>
  <si>
    <t>Stewart</t>
  </si>
  <si>
    <t>Katie</t>
  </si>
  <si>
    <t>Jane</t>
  </si>
  <si>
    <t>Winters</t>
  </si>
  <si>
    <t>Martin</t>
  </si>
  <si>
    <t>Geoff</t>
  </si>
  <si>
    <t>Brown</t>
  </si>
  <si>
    <t>Alice</t>
  </si>
  <si>
    <t>Owens</t>
  </si>
  <si>
    <t>Thomas</t>
  </si>
  <si>
    <t>Sam</t>
  </si>
  <si>
    <t>Whitney</t>
  </si>
  <si>
    <t>Erin</t>
  </si>
  <si>
    <t>Amy</t>
  </si>
  <si>
    <t>Tooley</t>
  </si>
  <si>
    <t>Region</t>
  </si>
  <si>
    <t>North</t>
  </si>
  <si>
    <t>East</t>
  </si>
  <si>
    <t>West</t>
  </si>
  <si>
    <t>South</t>
  </si>
  <si>
    <t>HR</t>
  </si>
  <si>
    <t>Sales</t>
  </si>
  <si>
    <t>Admin</t>
  </si>
  <si>
    <t>!</t>
  </si>
  <si>
    <t>User Form</t>
  </si>
  <si>
    <t>Sr. No.</t>
  </si>
  <si>
    <t>First Name</t>
  </si>
  <si>
    <t>Last Name</t>
  </si>
  <si>
    <t>Department</t>
  </si>
  <si>
    <t>DOJ</t>
  </si>
  <si>
    <t>Salary</t>
  </si>
  <si>
    <t>:</t>
  </si>
  <si>
    <t>Jay</t>
  </si>
  <si>
    <t>Raj</t>
  </si>
  <si>
    <t>Mohan</t>
  </si>
  <si>
    <t>Roy</t>
  </si>
  <si>
    <t>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</si>
</sst>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₹&quot;\ #,##0.00;[Red]&quot;₹&quot;\ \-#,##0.00"/>
    <numFmt numFmtId="43" formatCode="_ * #,##0.00_ ;_ * \-#,##0.00_ ;_ * &quot;-&quot;??_ ;_ @_ "/>
    <numFmt numFmtId="164" formatCode="_ * #,##0_ ;_ * \-#,##0_ ;_ * &quot;-&quot;??_ ;_ @_ "/>
    <numFmt numFmtId="165" formatCode="&quot;$&quot;#,##0.00"/>
    <numFmt numFmtId="167" formatCode="ddd\,\ dd/mm/yyyy"/>
    <numFmt numFmtId="169" formatCode="_ [$₹-4009]\ * #,##0.0_ ;_ [$₹-4009]\ * \-#,##0.0_ ;_ [$₹-4009]\ * &quot;-&quot;??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Times New Roman"/>
      <family val="1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4" fontId="0" fillId="0" borderId="0" xfId="1" applyNumberFormat="1" applyFont="1"/>
    <xf numFmtId="10" fontId="0" fillId="0" borderId="0" xfId="0" applyNumberFormat="1"/>
    <xf numFmtId="8" fontId="0" fillId="0" borderId="0" xfId="0" applyNumberFormat="1"/>
    <xf numFmtId="164" fontId="0" fillId="0" borderId="0" xfId="0" applyNumberFormat="1"/>
    <xf numFmtId="0" fontId="2" fillId="0" borderId="0" xfId="0" applyFont="1"/>
    <xf numFmtId="0" fontId="0" fillId="0" borderId="0" xfId="0" applyNumberFormat="1"/>
    <xf numFmtId="0" fontId="5" fillId="2" borderId="0" xfId="0" applyFont="1" applyFill="1"/>
    <xf numFmtId="0" fontId="0" fillId="0" borderId="4" xfId="0" applyBorder="1"/>
    <xf numFmtId="0" fontId="0" fillId="0" borderId="5" xfId="0" applyBorder="1"/>
    <xf numFmtId="0" fontId="0" fillId="0" borderId="1" xfId="0" applyBorder="1"/>
    <xf numFmtId="11" fontId="0" fillId="0" borderId="2" xfId="0" applyNumberFormat="1" applyBorder="1"/>
    <xf numFmtId="0" fontId="0" fillId="0" borderId="8" xfId="0" applyBorder="1"/>
    <xf numFmtId="0" fontId="0" fillId="0" borderId="14" xfId="0" applyBorder="1"/>
    <xf numFmtId="0" fontId="0" fillId="0" borderId="16" xfId="0" applyBorder="1"/>
    <xf numFmtId="11" fontId="0" fillId="0" borderId="17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24" xfId="0" applyFont="1" applyBorder="1"/>
    <xf numFmtId="0" fontId="7" fillId="0" borderId="24" xfId="0" applyFont="1" applyBorder="1" applyAlignment="1">
      <alignment horizontal="center" wrapText="1"/>
    </xf>
    <xf numFmtId="0" fontId="8" fillId="0" borderId="0" xfId="0" applyFont="1"/>
    <xf numFmtId="15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65" fontId="8" fillId="0" borderId="0" xfId="0" applyNumberFormat="1" applyFont="1"/>
    <xf numFmtId="0" fontId="9" fillId="0" borderId="0" xfId="0" applyFont="1"/>
    <xf numFmtId="0" fontId="7" fillId="0" borderId="24" xfId="0" applyFont="1" applyFill="1" applyBorder="1"/>
    <xf numFmtId="0" fontId="7" fillId="0" borderId="24" xfId="0" applyFont="1" applyFill="1" applyBorder="1" applyAlignment="1">
      <alignment horizontal="center"/>
    </xf>
    <xf numFmtId="0" fontId="8" fillId="0" borderId="0" xfId="0" applyFont="1" applyBorder="1"/>
    <xf numFmtId="15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/>
    <xf numFmtId="0" fontId="9" fillId="0" borderId="0" xfId="0" applyFont="1" applyBorder="1"/>
    <xf numFmtId="0" fontId="0" fillId="5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26" xfId="0" applyFill="1" applyBorder="1"/>
    <xf numFmtId="0" fontId="0" fillId="5" borderId="27" xfId="0" applyFill="1" applyBorder="1"/>
    <xf numFmtId="0" fontId="0" fillId="7" borderId="0" xfId="0" applyFill="1" applyBorder="1"/>
    <xf numFmtId="15" fontId="0" fillId="0" borderId="0" xfId="0" applyNumberFormat="1"/>
    <xf numFmtId="0" fontId="0" fillId="6" borderId="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167" fontId="0" fillId="6" borderId="25" xfId="0" applyNumberFormat="1" applyFill="1" applyBorder="1" applyAlignment="1">
      <alignment horizontal="center"/>
    </xf>
    <xf numFmtId="169" fontId="2" fillId="6" borderId="5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0" fillId="7" borderId="28" xfId="0" applyFill="1" applyBorder="1"/>
    <xf numFmtId="0" fontId="0" fillId="7" borderId="15" xfId="0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169" fontId="0" fillId="0" borderId="0" xfId="1" applyNumberFormat="1" applyFont="1"/>
  </cellXfs>
  <cellStyles count="2">
    <cellStyle name="Comma" xfId="1" builtinId="3"/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2" fmlaLink="$B$2" max="100" min="1" page="10" val="2"/>
</file>

<file path=xl/ctrlProps/ctrlProp2.xml><?xml version="1.0" encoding="utf-8"?>
<formControlPr xmlns="http://schemas.microsoft.com/office/spreadsheetml/2009/9/main" objectType="Scroll" dx="22" fmlaLink="$G$5" horiz="1" max="15" min="6" page="10" val="8"/>
</file>

<file path=xl/ctrlProps/ctrlProp3.xml><?xml version="1.0" encoding="utf-8"?>
<formControlPr xmlns="http://schemas.microsoft.com/office/spreadsheetml/2009/9/main" objectType="Scroll" dx="22" fmlaLink="$F$7" max="20" min="5" page="10" val="5"/>
</file>

<file path=xl/ctrlProps/ctrlProp4.xml><?xml version="1.0" encoding="utf-8"?>
<formControlPr xmlns="http://schemas.microsoft.com/office/spreadsheetml/2009/9/main" objectType="CheckBox" fmlaLink="$D$18" lockText="1" noThreeD="1"/>
</file>

<file path=xl/ctrlProps/ctrlProp5.xml><?xml version="1.0" encoding="utf-8"?>
<formControlPr xmlns="http://schemas.microsoft.com/office/spreadsheetml/2009/9/main" objectType="CheckBox" checked="Checked" fmlaLink="$F$20" lockText="1" noThreeD="1"/>
</file>

<file path=xl/ctrlProps/ctrlProp6.xml><?xml version="1.0" encoding="utf-8"?>
<formControlPr xmlns="http://schemas.microsoft.com/office/spreadsheetml/2009/9/main" objectType="CheckBox" checked="Checked" fmlaLink="$F$21" lockText="1" noThreeD="1"/>
</file>

<file path=xl/ctrlProps/ctrlProp7.xml><?xml version="1.0" encoding="utf-8"?>
<formControlPr xmlns="http://schemas.microsoft.com/office/spreadsheetml/2009/9/main" objectType="CheckBox" checked="Checked" fmlaLink="$F$22" lockText="1" noThreeD="1"/>
</file>

<file path=xl/ctrlProps/ctrlProp8.xml><?xml version="1.0" encoding="utf-8"?>
<formControlPr xmlns="http://schemas.microsoft.com/office/spreadsheetml/2009/9/main" objectType="CheckBox" fmlaLink="$F$23" lockText="1" noThreeD="1"/>
</file>

<file path=xl/ctrlProps/ctrlProp9.xml><?xml version="1.0" encoding="utf-8"?>
<formControlPr xmlns="http://schemas.microsoft.com/office/spreadsheetml/2009/9/main" objectType="CheckBox" checked="Checked" fmlaLink="$F$20" lockText="1" noThreeD="1"/>
</file>

<file path=xl/ctrlProps/ctrlProp10.xml><?xml version="1.0" encoding="utf-8"?>
<formControlPr xmlns="http://schemas.microsoft.com/office/spreadsheetml/2009/9/main" objectType="Spin" dx="22" fmlaLink="$F$2" inc="10000" max="30000" min="1" page="10" val="3000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</xdr:row>
          <xdr:rowOff>19050</xdr:rowOff>
        </xdr:from>
        <xdr:to>
          <xdr:col>0</xdr:col>
          <xdr:colOff>581025</xdr:colOff>
          <xdr:row>24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2</xdr:row>
          <xdr:rowOff>171450</xdr:rowOff>
        </xdr:from>
        <xdr:to>
          <xdr:col>12</xdr:col>
          <xdr:colOff>676275</xdr:colOff>
          <xdr:row>3</xdr:row>
          <xdr:rowOff>171450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6</xdr:row>
          <xdr:rowOff>0</xdr:rowOff>
        </xdr:from>
        <xdr:to>
          <xdr:col>5</xdr:col>
          <xdr:colOff>200025</xdr:colOff>
          <xdr:row>14</xdr:row>
          <xdr:rowOff>190500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16</xdr:row>
          <xdr:rowOff>180975</xdr:rowOff>
        </xdr:from>
        <xdr:to>
          <xdr:col>5</xdr:col>
          <xdr:colOff>9525</xdr:colOff>
          <xdr:row>18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18</xdr:row>
          <xdr:rowOff>171450</xdr:rowOff>
        </xdr:from>
        <xdr:to>
          <xdr:col>6</xdr:col>
          <xdr:colOff>66675</xdr:colOff>
          <xdr:row>20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19</xdr:row>
          <xdr:rowOff>180975</xdr:rowOff>
        </xdr:from>
        <xdr:to>
          <xdr:col>6</xdr:col>
          <xdr:colOff>66675</xdr:colOff>
          <xdr:row>21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20</xdr:row>
          <xdr:rowOff>171450</xdr:rowOff>
        </xdr:from>
        <xdr:to>
          <xdr:col>6</xdr:col>
          <xdr:colOff>66675</xdr:colOff>
          <xdr:row>22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21</xdr:row>
          <xdr:rowOff>171450</xdr:rowOff>
        </xdr:from>
        <xdr:to>
          <xdr:col>6</xdr:col>
          <xdr:colOff>66675</xdr:colOff>
          <xdr:row>23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18</xdr:row>
          <xdr:rowOff>171450</xdr:rowOff>
        </xdr:from>
        <xdr:to>
          <xdr:col>6</xdr:col>
          <xdr:colOff>66675</xdr:colOff>
          <xdr:row>20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6</xdr:col>
          <xdr:colOff>219075</xdr:colOff>
          <xdr:row>2</xdr:row>
          <xdr:rowOff>0</xdr:rowOff>
        </xdr:to>
        <xdr:sp macro="" textlink="">
          <xdr:nvSpPr>
            <xdr:cNvPr id="1042" name="Spinne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</xdr:row>
          <xdr:rowOff>76200</xdr:rowOff>
        </xdr:from>
        <xdr:to>
          <xdr:col>9</xdr:col>
          <xdr:colOff>171450</xdr:colOff>
          <xdr:row>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26702</xdr:colOff>
          <xdr:row>0</xdr:row>
          <xdr:rowOff>64177</xdr:rowOff>
        </xdr:from>
        <xdr:to>
          <xdr:col>11</xdr:col>
          <xdr:colOff>549953</xdr:colOff>
          <xdr:row>0</xdr:row>
          <xdr:rowOff>289654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158416</xdr:colOff>
          <xdr:row>9</xdr:row>
          <xdr:rowOff>82717</xdr:rowOff>
        </xdr:from>
        <xdr:to>
          <xdr:col>3</xdr:col>
          <xdr:colOff>682291</xdr:colOff>
          <xdr:row>10</xdr:row>
          <xdr:rowOff>111292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68BD-AB27-4F4F-BAD2-AF2DE9D28EB4}">
  <sheetPr codeName="Sheet1"/>
  <dimension ref="B2:M26"/>
  <sheetViews>
    <sheetView topLeftCell="A13" zoomScale="150" zoomScaleNormal="150" workbookViewId="0">
      <selection activeCell="J25" sqref="J25"/>
    </sheetView>
  </sheetViews>
  <sheetFormatPr defaultRowHeight="15" x14ac:dyDescent="0.25"/>
  <cols>
    <col min="5" max="5" width="10.7109375" customWidth="1"/>
    <col min="6" max="6" width="11.5703125" customWidth="1"/>
    <col min="7" max="13" width="10.7109375" bestFit="1" customWidth="1"/>
  </cols>
  <sheetData>
    <row r="2" spans="2:13" x14ac:dyDescent="0.25">
      <c r="B2" s="1">
        <v>2</v>
      </c>
      <c r="E2" t="s">
        <v>0</v>
      </c>
      <c r="F2" s="2">
        <v>30000</v>
      </c>
    </row>
    <row r="3" spans="2:13" x14ac:dyDescent="0.25">
      <c r="B3">
        <f t="shared" ref="B3:B25" si="0">B2+1</f>
        <v>3</v>
      </c>
      <c r="E3" t="s">
        <v>1</v>
      </c>
      <c r="F3" s="3">
        <v>7.4999999999999997E-2</v>
      </c>
    </row>
    <row r="4" spans="2:13" x14ac:dyDescent="0.25">
      <c r="B4">
        <f t="shared" si="0"/>
        <v>4</v>
      </c>
      <c r="E4" t="s">
        <v>2</v>
      </c>
      <c r="F4">
        <v>5</v>
      </c>
    </row>
    <row r="5" spans="2:13" x14ac:dyDescent="0.25">
      <c r="B5">
        <f t="shared" si="0"/>
        <v>5</v>
      </c>
      <c r="E5" t="s">
        <v>3</v>
      </c>
      <c r="F5">
        <f>F4*12</f>
        <v>60</v>
      </c>
      <c r="G5" s="1">
        <v>8</v>
      </c>
    </row>
    <row r="6" spans="2:13" x14ac:dyDescent="0.25">
      <c r="B6">
        <f t="shared" si="0"/>
        <v>6</v>
      </c>
      <c r="E6" t="s">
        <v>4</v>
      </c>
      <c r="F6" s="4">
        <f>PMT(F3/12,F5,F2)</f>
        <v>-601.13845786871298</v>
      </c>
      <c r="G6" s="3">
        <f>G5/100</f>
        <v>0.08</v>
      </c>
      <c r="H6" s="3">
        <f>G6+1%</f>
        <v>0.09</v>
      </c>
      <c r="I6" s="3">
        <f t="shared" ref="I6:M6" si="1">H6+1%</f>
        <v>9.9999999999999992E-2</v>
      </c>
      <c r="J6" s="3">
        <f t="shared" si="1"/>
        <v>0.10999999999999999</v>
      </c>
      <c r="K6" s="3">
        <f t="shared" si="1"/>
        <v>0.11999999999999998</v>
      </c>
      <c r="L6" s="3">
        <f t="shared" si="1"/>
        <v>0.12999999999999998</v>
      </c>
      <c r="M6" s="3">
        <f t="shared" si="1"/>
        <v>0.13999999999999999</v>
      </c>
    </row>
    <row r="7" spans="2:13" x14ac:dyDescent="0.25">
      <c r="B7">
        <f t="shared" si="0"/>
        <v>7</v>
      </c>
      <c r="F7" s="1">
        <v>5</v>
      </c>
      <c r="G7" s="4">
        <f>PMT(G$6/12,$F7*12,$F$2)</f>
        <v>-608.29182865241046</v>
      </c>
      <c r="H7" s="4">
        <f t="shared" ref="H7:M7" si="2">PMT(H$6/12,$F7*12,$F$2)</f>
        <v>-622.75065679062016</v>
      </c>
      <c r="I7" s="4">
        <f t="shared" si="2"/>
        <v>-637.41134133804826</v>
      </c>
      <c r="J7" s="4">
        <f t="shared" si="2"/>
        <v>-652.27269217929916</v>
      </c>
      <c r="K7" s="4">
        <f t="shared" si="2"/>
        <v>-667.33343054705301</v>
      </c>
      <c r="L7" s="4">
        <f t="shared" si="2"/>
        <v>-682.59219132672058</v>
      </c>
      <c r="M7" s="4">
        <f t="shared" si="2"/>
        <v>-698.04752548163094</v>
      </c>
    </row>
    <row r="8" spans="2:13" x14ac:dyDescent="0.25">
      <c r="B8">
        <f t="shared" si="0"/>
        <v>8</v>
      </c>
      <c r="F8">
        <f t="shared" ref="F8:F15" si="3">F7+1</f>
        <v>6</v>
      </c>
      <c r="G8" s="4">
        <f t="shared" ref="G8:M15" si="4">PMT(G$6/12,$F8*12,$F$2)</f>
        <v>-525.99721835858372</v>
      </c>
      <c r="H8" s="4">
        <f t="shared" si="4"/>
        <v>-540.76611504815492</v>
      </c>
      <c r="I8" s="4">
        <f t="shared" si="4"/>
        <v>-555.77513327311442</v>
      </c>
      <c r="J8" s="4">
        <f t="shared" si="4"/>
        <v>-571.02237002117397</v>
      </c>
      <c r="K8" s="4">
        <f t="shared" si="4"/>
        <v>-586.50577508097126</v>
      </c>
      <c r="L8" s="4">
        <f t="shared" si="4"/>
        <v>-602.22315619333722</v>
      </c>
      <c r="M8" s="4">
        <f t="shared" si="4"/>
        <v>-618.17218447116193</v>
      </c>
    </row>
    <row r="9" spans="2:13" x14ac:dyDescent="0.25">
      <c r="B9">
        <f t="shared" si="0"/>
        <v>9</v>
      </c>
      <c r="F9">
        <f t="shared" si="3"/>
        <v>7</v>
      </c>
      <c r="G9" s="4">
        <f t="shared" si="4"/>
        <v>-467.58643208008624</v>
      </c>
      <c r="H9" s="4">
        <f t="shared" si="4"/>
        <v>-482.67234780115649</v>
      </c>
      <c r="I9" s="4">
        <f t="shared" si="4"/>
        <v>-498.03552080657727</v>
      </c>
      <c r="J9" s="4">
        <f t="shared" si="4"/>
        <v>-513.67309304696266</v>
      </c>
      <c r="K9" s="4">
        <f t="shared" si="4"/>
        <v>-529.58198391221458</v>
      </c>
      <c r="L9" s="4">
        <f t="shared" si="4"/>
        <v>-545.75890046327015</v>
      </c>
      <c r="M9" s="4">
        <f t="shared" si="4"/>
        <v>-562.20034816587395</v>
      </c>
    </row>
    <row r="10" spans="2:13" x14ac:dyDescent="0.25">
      <c r="B10">
        <f t="shared" si="0"/>
        <v>10</v>
      </c>
      <c r="F10">
        <f t="shared" si="3"/>
        <v>8</v>
      </c>
      <c r="G10" s="4">
        <f t="shared" si="4"/>
        <v>-424.10037763634415</v>
      </c>
      <c r="H10" s="4">
        <f t="shared" si="4"/>
        <v>-439.50609821078899</v>
      </c>
      <c r="I10" s="4">
        <f t="shared" si="4"/>
        <v>-455.22492293412995</v>
      </c>
      <c r="J10" s="4">
        <f t="shared" si="4"/>
        <v>-471.25276963826263</v>
      </c>
      <c r="K10" s="4">
        <f t="shared" si="4"/>
        <v>-487.5852427721602</v>
      </c>
      <c r="L10" s="4">
        <f t="shared" si="4"/>
        <v>-504.21765193877593</v>
      </c>
      <c r="M10" s="4">
        <f t="shared" si="4"/>
        <v>-521.14503124271039</v>
      </c>
    </row>
    <row r="11" spans="2:13" x14ac:dyDescent="0.25">
      <c r="B11">
        <f t="shared" si="0"/>
        <v>11</v>
      </c>
      <c r="F11">
        <f t="shared" si="3"/>
        <v>9</v>
      </c>
      <c r="G11" s="4">
        <f t="shared" si="4"/>
        <v>-390.5614466170864</v>
      </c>
      <c r="H11" s="4">
        <f t="shared" si="4"/>
        <v>-406.28725959411764</v>
      </c>
      <c r="I11" s="4">
        <f t="shared" si="4"/>
        <v>-422.36058652113672</v>
      </c>
      <c r="J11" s="4">
        <f t="shared" si="4"/>
        <v>-438.7758306251506</v>
      </c>
      <c r="K11" s="4">
        <f t="shared" si="4"/>
        <v>-455.52697835284403</v>
      </c>
      <c r="L11" s="4">
        <f t="shared" si="4"/>
        <v>-472.60763056173522</v>
      </c>
      <c r="M11" s="4">
        <f t="shared" si="4"/>
        <v>-490.01103485212661</v>
      </c>
    </row>
    <row r="12" spans="2:13" x14ac:dyDescent="0.25">
      <c r="B12">
        <f t="shared" si="0"/>
        <v>12</v>
      </c>
      <c r="F12">
        <f t="shared" si="3"/>
        <v>10</v>
      </c>
      <c r="G12" s="4">
        <f t="shared" si="4"/>
        <v>-363.98278306607079</v>
      </c>
      <c r="H12" s="4">
        <f t="shared" si="4"/>
        <v>-380.02732125074846</v>
      </c>
      <c r="I12" s="4">
        <f t="shared" si="4"/>
        <v>-396.45221064528499</v>
      </c>
      <c r="J12" s="4">
        <f t="shared" si="4"/>
        <v>-413.25003387576749</v>
      </c>
      <c r="K12" s="4">
        <f t="shared" si="4"/>
        <v>-430.41284520776202</v>
      </c>
      <c r="L12" s="4">
        <f t="shared" si="4"/>
        <v>-447.93221993167452</v>
      </c>
      <c r="M12" s="4">
        <f t="shared" si="4"/>
        <v>-465.79930512274336</v>
      </c>
    </row>
    <row r="13" spans="2:13" x14ac:dyDescent="0.25">
      <c r="B13">
        <f t="shared" si="0"/>
        <v>13</v>
      </c>
      <c r="F13">
        <f t="shared" si="3"/>
        <v>11</v>
      </c>
      <c r="G13" s="4">
        <f t="shared" si="4"/>
        <v>-342.46340663529048</v>
      </c>
      <c r="H13" s="4">
        <f t="shared" si="4"/>
        <v>-358.82411846146732</v>
      </c>
      <c r="I13" s="4">
        <f t="shared" si="4"/>
        <v>-375.59632449987606</v>
      </c>
      <c r="J13" s="4">
        <f t="shared" si="4"/>
        <v>-392.77047138053655</v>
      </c>
      <c r="K13" s="4">
        <f t="shared" si="4"/>
        <v>-410.33636341540569</v>
      </c>
      <c r="L13" s="4">
        <f t="shared" si="4"/>
        <v>-428.28323689115996</v>
      </c>
      <c r="M13" s="4">
        <f t="shared" si="4"/>
        <v>-446.59983567583362</v>
      </c>
    </row>
    <row r="14" spans="2:13" x14ac:dyDescent="0.25">
      <c r="B14">
        <f t="shared" si="0"/>
        <v>14</v>
      </c>
      <c r="F14">
        <f t="shared" si="3"/>
        <v>12</v>
      </c>
      <c r="G14" s="4">
        <f t="shared" si="4"/>
        <v>-324.73577502104445</v>
      </c>
      <c r="H14" s="4">
        <f t="shared" si="4"/>
        <v>-341.40920902812178</v>
      </c>
      <c r="I14" s="4">
        <f t="shared" si="4"/>
        <v>-358.52347884820017</v>
      </c>
      <c r="J14" s="4">
        <f t="shared" si="4"/>
        <v>-376.06657650523653</v>
      </c>
      <c r="K14" s="4">
        <f t="shared" si="4"/>
        <v>-394.02574243092351</v>
      </c>
      <c r="L14" s="4">
        <f t="shared" si="4"/>
        <v>-412.38757243887892</v>
      </c>
      <c r="M14" s="4">
        <f t="shared" si="4"/>
        <v>-431.13812536526029</v>
      </c>
    </row>
    <row r="15" spans="2:13" x14ac:dyDescent="0.25">
      <c r="B15">
        <f t="shared" si="0"/>
        <v>15</v>
      </c>
      <c r="F15">
        <f t="shared" si="3"/>
        <v>13</v>
      </c>
      <c r="G15" s="4">
        <f t="shared" si="4"/>
        <v>-309.92216445032182</v>
      </c>
      <c r="H15" s="4">
        <f t="shared" si="4"/>
        <v>-326.90415417883492</v>
      </c>
      <c r="I15" s="4">
        <f t="shared" si="4"/>
        <v>-344.35442793170319</v>
      </c>
      <c r="J15" s="4">
        <f t="shared" si="4"/>
        <v>-362.25820742075791</v>
      </c>
      <c r="K15" s="4">
        <f t="shared" si="4"/>
        <v>-380.59986627730478</v>
      </c>
      <c r="L15" s="4">
        <f t="shared" si="4"/>
        <v>-399.36307833104337</v>
      </c>
      <c r="M15" s="4">
        <f t="shared" si="4"/>
        <v>-418.53096493024026</v>
      </c>
    </row>
    <row r="16" spans="2:13" x14ac:dyDescent="0.25">
      <c r="B16">
        <f t="shared" si="0"/>
        <v>16</v>
      </c>
    </row>
    <row r="17" spans="2:9" x14ac:dyDescent="0.25">
      <c r="B17">
        <f t="shared" si="0"/>
        <v>17</v>
      </c>
    </row>
    <row r="18" spans="2:9" x14ac:dyDescent="0.25">
      <c r="B18">
        <f t="shared" si="0"/>
        <v>18</v>
      </c>
      <c r="D18" t="b">
        <v>0</v>
      </c>
    </row>
    <row r="19" spans="2:9" x14ac:dyDescent="0.25">
      <c r="B19">
        <f t="shared" si="0"/>
        <v>19</v>
      </c>
      <c r="F19" s="6" t="s">
        <v>5</v>
      </c>
      <c r="G19" s="6" t="s">
        <v>6</v>
      </c>
      <c r="H19" s="6" t="s">
        <v>7</v>
      </c>
      <c r="I19" s="6" t="s">
        <v>13</v>
      </c>
    </row>
    <row r="20" spans="2:9" x14ac:dyDescent="0.25">
      <c r="B20">
        <f t="shared" si="0"/>
        <v>20</v>
      </c>
      <c r="F20" s="7" t="b">
        <v>1</v>
      </c>
      <c r="G20" t="s">
        <v>8</v>
      </c>
      <c r="H20" s="2">
        <v>5000</v>
      </c>
      <c r="I20" s="5">
        <f>F20*H20</f>
        <v>5000</v>
      </c>
    </row>
    <row r="21" spans="2:9" x14ac:dyDescent="0.25">
      <c r="B21">
        <f t="shared" si="0"/>
        <v>21</v>
      </c>
      <c r="F21" s="7" t="b">
        <v>1</v>
      </c>
      <c r="G21" t="s">
        <v>9</v>
      </c>
      <c r="H21" s="2">
        <v>2500</v>
      </c>
      <c r="I21" s="5">
        <f t="shared" ref="I21:I23" si="5">F21*H21</f>
        <v>2500</v>
      </c>
    </row>
    <row r="22" spans="2:9" x14ac:dyDescent="0.25">
      <c r="B22">
        <f t="shared" si="0"/>
        <v>22</v>
      </c>
      <c r="F22" s="7" t="b">
        <v>1</v>
      </c>
      <c r="G22" t="s">
        <v>10</v>
      </c>
      <c r="H22" s="2">
        <v>15000</v>
      </c>
      <c r="I22" s="5">
        <f t="shared" si="5"/>
        <v>15000</v>
      </c>
    </row>
    <row r="23" spans="2:9" x14ac:dyDescent="0.25">
      <c r="B23">
        <f t="shared" si="0"/>
        <v>23</v>
      </c>
      <c r="F23" s="7" t="b">
        <v>0</v>
      </c>
      <c r="G23" t="s">
        <v>11</v>
      </c>
      <c r="H23" s="2">
        <v>1750</v>
      </c>
      <c r="I23" s="5">
        <f t="shared" si="5"/>
        <v>0</v>
      </c>
    </row>
    <row r="24" spans="2:9" x14ac:dyDescent="0.25">
      <c r="B24">
        <f t="shared" si="0"/>
        <v>24</v>
      </c>
    </row>
    <row r="25" spans="2:9" x14ac:dyDescent="0.25">
      <c r="B25">
        <f t="shared" si="0"/>
        <v>25</v>
      </c>
      <c r="G25" t="s">
        <v>12</v>
      </c>
      <c r="H25" s="2"/>
      <c r="I25" s="2">
        <f>SUM(I20:I24)</f>
        <v>22500</v>
      </c>
    </row>
    <row r="26" spans="2:9" x14ac:dyDescent="0.25">
      <c r="I26" s="5">
        <f>-(SUM(H20:H23)-I25)</f>
        <v>-1750</v>
      </c>
    </row>
  </sheetData>
  <conditionalFormatting sqref="F20:F23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0</xdr:col>
                    <xdr:colOff>285750</xdr:colOff>
                    <xdr:row>1</xdr:row>
                    <xdr:rowOff>19050</xdr:rowOff>
                  </from>
                  <to>
                    <xdr:col>0</xdr:col>
                    <xdr:colOff>581025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5</xdr:col>
                    <xdr:colOff>752475</xdr:colOff>
                    <xdr:row>2</xdr:row>
                    <xdr:rowOff>171450</xdr:rowOff>
                  </from>
                  <to>
                    <xdr:col>12</xdr:col>
                    <xdr:colOff>676275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4</xdr:col>
                    <xdr:colOff>714375</xdr:colOff>
                    <xdr:row>6</xdr:row>
                    <xdr:rowOff>0</xdr:rowOff>
                  </from>
                  <to>
                    <xdr:col>5</xdr:col>
                    <xdr:colOff>200025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3</xdr:col>
                    <xdr:colOff>590550</xdr:colOff>
                    <xdr:row>16</xdr:row>
                    <xdr:rowOff>180975</xdr:rowOff>
                  </from>
                  <to>
                    <xdr:col>5</xdr:col>
                    <xdr:colOff>9525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5</xdr:col>
                    <xdr:colOff>581025</xdr:colOff>
                    <xdr:row>18</xdr:row>
                    <xdr:rowOff>171450</xdr:rowOff>
                  </from>
                  <to>
                    <xdr:col>6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 Box 13">
              <controlPr defaultSize="0" autoFill="0" autoLine="0" autoPict="0">
                <anchor moveWithCells="1">
                  <from>
                    <xdr:col>5</xdr:col>
                    <xdr:colOff>581025</xdr:colOff>
                    <xdr:row>19</xdr:row>
                    <xdr:rowOff>180975</xdr:rowOff>
                  </from>
                  <to>
                    <xdr:col>6</xdr:col>
                    <xdr:colOff>66675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>
                <anchor moveWithCells="1">
                  <from>
                    <xdr:col>5</xdr:col>
                    <xdr:colOff>581025</xdr:colOff>
                    <xdr:row>20</xdr:row>
                    <xdr:rowOff>171450</xdr:rowOff>
                  </from>
                  <to>
                    <xdr:col>6</xdr:col>
                    <xdr:colOff>66675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 Box 15">
              <controlPr defaultSize="0" autoFill="0" autoLine="0" autoPict="0">
                <anchor moveWithCells="1">
                  <from>
                    <xdr:col>5</xdr:col>
                    <xdr:colOff>581025</xdr:colOff>
                    <xdr:row>21</xdr:row>
                    <xdr:rowOff>171450</xdr:rowOff>
                  </from>
                  <to>
                    <xdr:col>6</xdr:col>
                    <xdr:colOff>66675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defaultSize="0" autoFill="0" autoLine="0" autoPict="0">
                <anchor moveWithCells="1">
                  <from>
                    <xdr:col>5</xdr:col>
                    <xdr:colOff>581025</xdr:colOff>
                    <xdr:row>18</xdr:row>
                    <xdr:rowOff>171450</xdr:rowOff>
                  </from>
                  <to>
                    <xdr:col>6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Spinner 18">
              <controlPr defaultSize="0" autoPict="0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6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C9C80-50F4-42C0-B045-A275701C0F7E}">
  <sheetPr codeName="Sheet2"/>
  <dimension ref="B2:G13"/>
  <sheetViews>
    <sheetView zoomScale="158" workbookViewId="0">
      <selection activeCell="C5" sqref="C5:D7"/>
    </sheetView>
  </sheetViews>
  <sheetFormatPr defaultRowHeight="15" x14ac:dyDescent="0.25"/>
  <sheetData>
    <row r="2" spans="2:7" x14ac:dyDescent="0.25">
      <c r="B2" t="s">
        <v>14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</row>
    <row r="3" spans="2:7" x14ac:dyDescent="0.25">
      <c r="B3" t="s">
        <v>14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2:7" x14ac:dyDescent="0.25">
      <c r="B4" t="s">
        <v>14</v>
      </c>
      <c r="C4" t="s">
        <v>14</v>
      </c>
      <c r="D4" t="s">
        <v>14</v>
      </c>
      <c r="E4" t="s">
        <v>14</v>
      </c>
      <c r="F4" t="s">
        <v>14</v>
      </c>
      <c r="G4" t="s">
        <v>14</v>
      </c>
    </row>
    <row r="5" spans="2:7" x14ac:dyDescent="0.25">
      <c r="B5" t="s">
        <v>14</v>
      </c>
      <c r="C5" s="8" t="s">
        <v>14</v>
      </c>
      <c r="D5" s="8" t="s">
        <v>14</v>
      </c>
      <c r="E5" t="s">
        <v>14</v>
      </c>
      <c r="F5" t="s">
        <v>14</v>
      </c>
      <c r="G5" t="s">
        <v>14</v>
      </c>
    </row>
    <row r="6" spans="2:7" x14ac:dyDescent="0.25">
      <c r="B6" t="s">
        <v>14</v>
      </c>
      <c r="C6" s="8" t="s">
        <v>14</v>
      </c>
      <c r="D6" s="8" t="s">
        <v>14</v>
      </c>
      <c r="E6" t="s">
        <v>14</v>
      </c>
      <c r="F6" t="s">
        <v>14</v>
      </c>
      <c r="G6" t="s">
        <v>14</v>
      </c>
    </row>
    <row r="7" spans="2:7" x14ac:dyDescent="0.25">
      <c r="B7" t="s">
        <v>14</v>
      </c>
      <c r="C7" t="s">
        <v>14</v>
      </c>
      <c r="D7" t="s">
        <v>14</v>
      </c>
      <c r="E7" t="s">
        <v>14</v>
      </c>
      <c r="F7" t="s">
        <v>14</v>
      </c>
      <c r="G7" t="s">
        <v>14</v>
      </c>
    </row>
    <row r="8" spans="2:7" x14ac:dyDescent="0.25">
      <c r="B8" t="s">
        <v>14</v>
      </c>
      <c r="C8" t="s">
        <v>14</v>
      </c>
      <c r="D8" t="s">
        <v>14</v>
      </c>
      <c r="E8" t="s">
        <v>14</v>
      </c>
      <c r="F8" t="s">
        <v>14</v>
      </c>
      <c r="G8" t="s">
        <v>14</v>
      </c>
    </row>
    <row r="9" spans="2:7" x14ac:dyDescent="0.25">
      <c r="B9" t="s">
        <v>14</v>
      </c>
      <c r="C9" t="s">
        <v>14</v>
      </c>
      <c r="D9" t="s">
        <v>14</v>
      </c>
      <c r="E9" t="s">
        <v>14</v>
      </c>
      <c r="F9" t="s">
        <v>14</v>
      </c>
      <c r="G9" t="s">
        <v>14</v>
      </c>
    </row>
    <row r="10" spans="2:7" x14ac:dyDescent="0.25">
      <c r="B10" t="s">
        <v>14</v>
      </c>
      <c r="C10" t="s">
        <v>14</v>
      </c>
      <c r="D10" t="s">
        <v>14</v>
      </c>
      <c r="E10" t="s">
        <v>14</v>
      </c>
      <c r="F10" t="s">
        <v>14</v>
      </c>
      <c r="G10" t="s">
        <v>14</v>
      </c>
    </row>
    <row r="11" spans="2:7" x14ac:dyDescent="0.25">
      <c r="B11" t="s">
        <v>14</v>
      </c>
      <c r="C11" t="s">
        <v>14</v>
      </c>
      <c r="D11" t="s">
        <v>14</v>
      </c>
      <c r="E11" t="s">
        <v>14</v>
      </c>
      <c r="F11" t="s">
        <v>14</v>
      </c>
      <c r="G11" t="s">
        <v>14</v>
      </c>
    </row>
    <row r="12" spans="2:7" x14ac:dyDescent="0.25">
      <c r="B12" t="s">
        <v>14</v>
      </c>
      <c r="C12" t="s">
        <v>14</v>
      </c>
      <c r="D12" t="s">
        <v>14</v>
      </c>
      <c r="E12" t="s">
        <v>14</v>
      </c>
      <c r="F12" t="s">
        <v>14</v>
      </c>
      <c r="G12" t="s">
        <v>14</v>
      </c>
    </row>
    <row r="13" spans="2:7" x14ac:dyDescent="0.25">
      <c r="B13" t="s">
        <v>14</v>
      </c>
      <c r="C13" t="s">
        <v>14</v>
      </c>
      <c r="D13" t="s">
        <v>14</v>
      </c>
      <c r="E13" t="s">
        <v>14</v>
      </c>
      <c r="F13" t="s">
        <v>14</v>
      </c>
      <c r="G13" t="s"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2">
                <anchor moveWithCells="1" sizeWithCells="1">
                  <from>
                    <xdr:col>8</xdr:col>
                    <xdr:colOff>47625</xdr:colOff>
                    <xdr:row>1</xdr:row>
                    <xdr:rowOff>76200</xdr:rowOff>
                  </from>
                  <to>
                    <xdr:col>9</xdr:col>
                    <xdr:colOff>171450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EE167-DB29-43A8-9C7D-0D877A644226}">
  <sheetPr codeName="Sheet3"/>
  <dimension ref="A1:E17"/>
  <sheetViews>
    <sheetView showGridLines="0" zoomScale="130" zoomScaleNormal="130" workbookViewId="0">
      <selection sqref="A1:E17"/>
    </sheetView>
  </sheetViews>
  <sheetFormatPr defaultRowHeight="15" x14ac:dyDescent="0.25"/>
  <cols>
    <col min="2" max="2" width="30.7109375" customWidth="1"/>
  </cols>
  <sheetData>
    <row r="1" spans="1:5" ht="36" x14ac:dyDescent="0.55000000000000004">
      <c r="A1" s="23" t="s">
        <v>15</v>
      </c>
      <c r="B1" s="24"/>
      <c r="C1" s="24"/>
      <c r="D1" s="24"/>
      <c r="E1" s="25"/>
    </row>
    <row r="2" spans="1:5" x14ac:dyDescent="0.25">
      <c r="A2" s="26" t="s">
        <v>16</v>
      </c>
      <c r="B2" s="27"/>
      <c r="C2" s="28"/>
      <c r="D2" s="29"/>
      <c r="E2" s="30"/>
    </row>
    <row r="3" spans="1:5" x14ac:dyDescent="0.25">
      <c r="A3" s="14"/>
      <c r="B3" s="9"/>
      <c r="C3" s="31"/>
      <c r="D3" s="32"/>
      <c r="E3" s="33"/>
    </row>
    <row r="4" spans="1:5" x14ac:dyDescent="0.25">
      <c r="A4" s="15"/>
      <c r="B4" s="10"/>
      <c r="C4" s="31"/>
      <c r="D4" s="32"/>
      <c r="E4" s="33"/>
    </row>
    <row r="5" spans="1:5" x14ac:dyDescent="0.25">
      <c r="A5" s="16" t="s">
        <v>17</v>
      </c>
      <c r="B5" s="12" t="s">
        <v>18</v>
      </c>
      <c r="C5" s="11" t="s">
        <v>21</v>
      </c>
      <c r="D5" s="11" t="s">
        <v>19</v>
      </c>
      <c r="E5" s="17" t="s">
        <v>20</v>
      </c>
    </row>
    <row r="6" spans="1:5" x14ac:dyDescent="0.25">
      <c r="A6" s="18"/>
      <c r="B6" s="13"/>
      <c r="C6" s="13"/>
      <c r="D6" s="13"/>
      <c r="E6" s="19"/>
    </row>
    <row r="7" spans="1:5" x14ac:dyDescent="0.25">
      <c r="A7" s="18"/>
      <c r="B7" s="13"/>
      <c r="C7" s="13"/>
      <c r="D7" s="13"/>
      <c r="E7" s="19"/>
    </row>
    <row r="8" spans="1:5" x14ac:dyDescent="0.25">
      <c r="A8" s="18"/>
      <c r="B8" s="13"/>
      <c r="C8" s="13"/>
      <c r="D8" s="13"/>
      <c r="E8" s="19"/>
    </row>
    <row r="9" spans="1:5" x14ac:dyDescent="0.25">
      <c r="A9" s="18"/>
      <c r="B9" s="13"/>
      <c r="C9" s="13"/>
      <c r="D9" s="13"/>
      <c r="E9" s="19"/>
    </row>
    <row r="10" spans="1:5" x14ac:dyDescent="0.25">
      <c r="A10" s="18"/>
      <c r="B10" s="13"/>
      <c r="C10" s="13"/>
      <c r="D10" s="13"/>
      <c r="E10" s="19"/>
    </row>
    <row r="11" spans="1:5" x14ac:dyDescent="0.25">
      <c r="A11" s="18"/>
      <c r="B11" s="13"/>
      <c r="C11" s="13"/>
      <c r="D11" s="13"/>
      <c r="E11" s="19"/>
    </row>
    <row r="12" spans="1:5" x14ac:dyDescent="0.25">
      <c r="A12" s="18"/>
      <c r="B12" s="13"/>
      <c r="C12" s="13"/>
      <c r="D12" s="13"/>
      <c r="E12" s="19"/>
    </row>
    <row r="13" spans="1:5" x14ac:dyDescent="0.25">
      <c r="A13" s="18"/>
      <c r="B13" s="13"/>
      <c r="C13" s="13"/>
      <c r="D13" s="13"/>
      <c r="E13" s="19"/>
    </row>
    <row r="14" spans="1:5" x14ac:dyDescent="0.25">
      <c r="A14" s="18"/>
      <c r="B14" s="13"/>
      <c r="C14" s="13"/>
      <c r="D14" s="13"/>
      <c r="E14" s="19"/>
    </row>
    <row r="15" spans="1:5" x14ac:dyDescent="0.25">
      <c r="A15" s="18"/>
      <c r="B15" s="13"/>
      <c r="C15" s="13"/>
      <c r="D15" s="13"/>
      <c r="E15" s="19"/>
    </row>
    <row r="16" spans="1:5" x14ac:dyDescent="0.25">
      <c r="A16" s="18"/>
      <c r="B16" s="13"/>
      <c r="C16" s="13"/>
      <c r="D16" s="13"/>
      <c r="E16" s="19"/>
    </row>
    <row r="17" spans="1:5" ht="15.75" thickBot="1" x14ac:dyDescent="0.3">
      <c r="A17" s="20"/>
      <c r="B17" s="21"/>
      <c r="C17" s="21"/>
      <c r="D17" s="21"/>
      <c r="E17" s="22"/>
    </row>
  </sheetData>
  <mergeCells count="3">
    <mergeCell ref="A1:E1"/>
    <mergeCell ref="A2:B2"/>
    <mergeCell ref="C2:E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887B3-D7F8-4ED0-B7E6-6F4F3DD59194}">
  <sheetPr codeName="Sheet4"/>
  <dimension ref="A1:J99"/>
  <sheetViews>
    <sheetView zoomScale="122" workbookViewId="0">
      <selection activeCell="M6" sqref="M6"/>
    </sheetView>
  </sheetViews>
  <sheetFormatPr defaultRowHeight="15" x14ac:dyDescent="0.25"/>
  <cols>
    <col min="5" max="5" width="13.85546875" bestFit="1" customWidth="1"/>
    <col min="9" max="9" width="9.7109375" bestFit="1" customWidth="1"/>
  </cols>
  <sheetData>
    <row r="1" spans="1:10" ht="27" thickBot="1" x14ac:dyDescent="0.3">
      <c r="A1" s="34" t="s">
        <v>22</v>
      </c>
      <c r="B1" s="41" t="s">
        <v>198</v>
      </c>
      <c r="C1" s="34" t="s">
        <v>23</v>
      </c>
      <c r="D1" s="34" t="s">
        <v>24</v>
      </c>
      <c r="E1" s="34" t="s">
        <v>25</v>
      </c>
      <c r="F1" s="42" t="s">
        <v>26</v>
      </c>
      <c r="G1" s="34" t="s">
        <v>27</v>
      </c>
      <c r="H1" s="35" t="s">
        <v>28</v>
      </c>
      <c r="I1" s="35" t="s">
        <v>29</v>
      </c>
      <c r="J1" s="35" t="s">
        <v>30</v>
      </c>
    </row>
    <row r="2" spans="1:10" x14ac:dyDescent="0.25">
      <c r="B2" t="s">
        <v>200</v>
      </c>
      <c r="J2" t="s">
        <v>35</v>
      </c>
    </row>
    <row r="3" spans="1:10" x14ac:dyDescent="0.25">
      <c r="A3" t="s">
        <v>206</v>
      </c>
    </row>
    <row r="4" spans="1:10" x14ac:dyDescent="0.25">
      <c r="A4" t="s">
        <v>206</v>
      </c>
    </row>
    <row r="5" spans="1:10" ht="27" thickBot="1" x14ac:dyDescent="0.3">
      <c r="A5" s="34" t="s">
        <v>22</v>
      </c>
      <c r="B5" s="41" t="s">
        <v>198</v>
      </c>
      <c r="C5" s="34" t="s">
        <v>23</v>
      </c>
      <c r="D5" s="34" t="s">
        <v>24</v>
      </c>
      <c r="E5" s="34" t="s">
        <v>25</v>
      </c>
      <c r="F5" s="42" t="s">
        <v>26</v>
      </c>
      <c r="G5" s="34" t="s">
        <v>27</v>
      </c>
      <c r="H5" s="35" t="s">
        <v>28</v>
      </c>
      <c r="I5" s="35" t="s">
        <v>29</v>
      </c>
      <c r="J5" s="35" t="s">
        <v>30</v>
      </c>
    </row>
    <row r="6" spans="1:10" ht="15.75" x14ac:dyDescent="0.25">
      <c r="A6" s="43">
        <v>1</v>
      </c>
      <c r="B6" s="43" t="s">
        <v>199</v>
      </c>
      <c r="C6" s="43" t="s">
        <v>31</v>
      </c>
      <c r="D6" s="43" t="s">
        <v>32</v>
      </c>
      <c r="E6" s="44">
        <v>34690</v>
      </c>
      <c r="F6" s="45" t="s">
        <v>203</v>
      </c>
      <c r="G6" s="43">
        <v>35.5</v>
      </c>
      <c r="H6" s="46">
        <v>45</v>
      </c>
      <c r="I6" s="46">
        <f>G6*H6</f>
        <v>1597.5</v>
      </c>
      <c r="J6" s="47" t="str">
        <f>TEXT(E6,"ddd")</f>
        <v>Thu</v>
      </c>
    </row>
    <row r="7" spans="1:10" ht="15.75" x14ac:dyDescent="0.25">
      <c r="A7" s="36">
        <v>2</v>
      </c>
      <c r="B7" s="36" t="s">
        <v>200</v>
      </c>
      <c r="C7" s="36" t="s">
        <v>33</v>
      </c>
      <c r="D7" s="36" t="s">
        <v>34</v>
      </c>
      <c r="E7" s="37">
        <v>34153</v>
      </c>
      <c r="F7" s="38" t="s">
        <v>204</v>
      </c>
      <c r="G7" s="36">
        <v>35.5</v>
      </c>
      <c r="H7" s="39">
        <v>28.3</v>
      </c>
      <c r="I7" s="39">
        <f>G7*H7</f>
        <v>1004.65</v>
      </c>
      <c r="J7" s="40" t="str">
        <f>TEXT(E7,"ddd")</f>
        <v>Sat</v>
      </c>
    </row>
    <row r="8" spans="1:10" ht="15.75" x14ac:dyDescent="0.25">
      <c r="A8" s="36">
        <v>3</v>
      </c>
      <c r="B8" s="36" t="s">
        <v>201</v>
      </c>
      <c r="C8" s="36" t="s">
        <v>36</v>
      </c>
      <c r="D8" s="36" t="s">
        <v>37</v>
      </c>
      <c r="E8" s="37">
        <v>36000</v>
      </c>
      <c r="F8" s="38" t="s">
        <v>205</v>
      </c>
      <c r="G8" s="36">
        <v>42</v>
      </c>
      <c r="H8" s="39">
        <v>31.75</v>
      </c>
      <c r="I8" s="39">
        <f>G8*H8</f>
        <v>1333.5</v>
      </c>
      <c r="J8" s="40" t="str">
        <f>TEXT(E8,"ddd")</f>
        <v>Fri</v>
      </c>
    </row>
    <row r="9" spans="1:10" ht="15.75" x14ac:dyDescent="0.25">
      <c r="A9" s="36">
        <v>4</v>
      </c>
      <c r="B9" s="36" t="s">
        <v>202</v>
      </c>
      <c r="C9" s="36" t="s">
        <v>38</v>
      </c>
      <c r="D9" s="36" t="s">
        <v>39</v>
      </c>
      <c r="E9" s="37">
        <v>35221</v>
      </c>
      <c r="F9" s="38" t="s">
        <v>203</v>
      </c>
      <c r="G9" s="36">
        <v>40</v>
      </c>
      <c r="H9" s="39">
        <v>23.75</v>
      </c>
      <c r="I9" s="39">
        <f>G9*H9</f>
        <v>950</v>
      </c>
      <c r="J9" s="40" t="str">
        <f>TEXT(E9,"ddd")</f>
        <v>Wed</v>
      </c>
    </row>
    <row r="10" spans="1:10" ht="15.75" x14ac:dyDescent="0.25">
      <c r="A10" s="36">
        <v>5</v>
      </c>
      <c r="B10" s="36" t="s">
        <v>199</v>
      </c>
      <c r="C10" s="36" t="s">
        <v>40</v>
      </c>
      <c r="D10" s="36" t="s">
        <v>41</v>
      </c>
      <c r="E10" s="37">
        <v>33399</v>
      </c>
      <c r="F10" s="38" t="s">
        <v>204</v>
      </c>
      <c r="G10" s="36">
        <v>40</v>
      </c>
      <c r="H10" s="39">
        <v>27.6</v>
      </c>
      <c r="I10" s="39">
        <f>G10*H10</f>
        <v>1104</v>
      </c>
      <c r="J10" s="40" t="str">
        <f>TEXT(E10,"ddd")</f>
        <v>Mon</v>
      </c>
    </row>
    <row r="11" spans="1:10" ht="15.75" x14ac:dyDescent="0.25">
      <c r="A11" s="36">
        <v>6</v>
      </c>
      <c r="B11" s="36" t="s">
        <v>200</v>
      </c>
      <c r="C11" s="36" t="s">
        <v>42</v>
      </c>
      <c r="D11" s="36" t="s">
        <v>43</v>
      </c>
      <c r="E11" s="37">
        <v>34853</v>
      </c>
      <c r="F11" s="38" t="s">
        <v>205</v>
      </c>
      <c r="G11" s="36">
        <v>35</v>
      </c>
      <c r="H11" s="39">
        <v>39</v>
      </c>
      <c r="I11" s="39">
        <f>G11*H11</f>
        <v>1365</v>
      </c>
      <c r="J11" s="40" t="str">
        <f>TEXT(E11,"ddd")</f>
        <v>Sat</v>
      </c>
    </row>
    <row r="12" spans="1:10" ht="15.75" x14ac:dyDescent="0.25">
      <c r="A12" s="36">
        <v>7</v>
      </c>
      <c r="B12" s="36" t="s">
        <v>201</v>
      </c>
      <c r="C12" s="36" t="s">
        <v>44</v>
      </c>
      <c r="D12" s="36" t="s">
        <v>45</v>
      </c>
      <c r="E12" s="37">
        <v>35485</v>
      </c>
      <c r="F12" s="38" t="s">
        <v>203</v>
      </c>
      <c r="G12" s="36">
        <v>35</v>
      </c>
      <c r="H12" s="39">
        <v>27.1</v>
      </c>
      <c r="I12" s="39">
        <f>G12*H12</f>
        <v>948.5</v>
      </c>
      <c r="J12" s="40" t="str">
        <f>TEXT(E12,"ddd")</f>
        <v>Mon</v>
      </c>
    </row>
    <row r="13" spans="1:10" ht="15.75" x14ac:dyDescent="0.25">
      <c r="A13" s="36">
        <v>8</v>
      </c>
      <c r="B13" s="36" t="s">
        <v>202</v>
      </c>
      <c r="C13" s="36" t="s">
        <v>46</v>
      </c>
      <c r="D13" s="36" t="s">
        <v>47</v>
      </c>
      <c r="E13" s="37">
        <v>33341</v>
      </c>
      <c r="F13" s="38" t="s">
        <v>204</v>
      </c>
      <c r="G13" s="36">
        <v>40</v>
      </c>
      <c r="H13" s="39">
        <v>48</v>
      </c>
      <c r="I13" s="39">
        <f>G13*H13</f>
        <v>1920</v>
      </c>
      <c r="J13" s="40" t="str">
        <f>TEXT(E13,"ddd")</f>
        <v>Sat</v>
      </c>
    </row>
    <row r="14" spans="1:10" ht="15.75" x14ac:dyDescent="0.25">
      <c r="A14" s="36">
        <v>9</v>
      </c>
      <c r="B14" s="36" t="s">
        <v>199</v>
      </c>
      <c r="C14" s="36" t="s">
        <v>48</v>
      </c>
      <c r="D14" s="36" t="s">
        <v>49</v>
      </c>
      <c r="E14" s="37">
        <v>35825</v>
      </c>
      <c r="F14" s="38" t="s">
        <v>205</v>
      </c>
      <c r="G14" s="36">
        <v>35.5</v>
      </c>
      <c r="H14" s="39">
        <v>28.3</v>
      </c>
      <c r="I14" s="39">
        <f>G14*H14</f>
        <v>1004.65</v>
      </c>
      <c r="J14" s="40" t="str">
        <f>TEXT(E14,"ddd")</f>
        <v>Fri</v>
      </c>
    </row>
    <row r="15" spans="1:10" ht="15.75" x14ac:dyDescent="0.25">
      <c r="A15" s="36">
        <v>10</v>
      </c>
      <c r="B15" s="36" t="s">
        <v>200</v>
      </c>
      <c r="C15" s="36" t="s">
        <v>50</v>
      </c>
      <c r="D15" s="36" t="s">
        <v>51</v>
      </c>
      <c r="E15" s="37">
        <v>36157</v>
      </c>
      <c r="F15" s="38" t="s">
        <v>203</v>
      </c>
      <c r="G15" s="36">
        <v>40</v>
      </c>
      <c r="H15" s="39">
        <v>36.5</v>
      </c>
      <c r="I15" s="39">
        <f>G15*H15</f>
        <v>1460</v>
      </c>
      <c r="J15" s="40" t="str">
        <f>TEXT(E15,"ddd")</f>
        <v>Mon</v>
      </c>
    </row>
    <row r="16" spans="1:10" ht="15.75" x14ac:dyDescent="0.25">
      <c r="A16" s="36">
        <v>11</v>
      </c>
      <c r="B16" s="36" t="s">
        <v>201</v>
      </c>
      <c r="C16" s="36" t="s">
        <v>52</v>
      </c>
      <c r="D16" s="36" t="s">
        <v>53</v>
      </c>
      <c r="E16" s="37">
        <v>33822</v>
      </c>
      <c r="F16" s="38" t="s">
        <v>204</v>
      </c>
      <c r="G16" s="36">
        <v>35.5</v>
      </c>
      <c r="H16" s="39">
        <v>28.3</v>
      </c>
      <c r="I16" s="39">
        <f>G16*H16</f>
        <v>1004.65</v>
      </c>
      <c r="J16" s="40" t="str">
        <f>TEXT(E16,"ddd")</f>
        <v>Thu</v>
      </c>
    </row>
    <row r="17" spans="1:10" ht="15.75" x14ac:dyDescent="0.25">
      <c r="A17" s="36">
        <v>12</v>
      </c>
      <c r="B17" s="36" t="s">
        <v>202</v>
      </c>
      <c r="C17" s="36" t="s">
        <v>54</v>
      </c>
      <c r="D17" s="36" t="s">
        <v>55</v>
      </c>
      <c r="E17" s="37">
        <v>35888</v>
      </c>
      <c r="F17" s="38" t="s">
        <v>205</v>
      </c>
      <c r="G17" s="36">
        <v>32</v>
      </c>
      <c r="H17" s="39">
        <v>20.5</v>
      </c>
      <c r="I17" s="39">
        <f>G17*H17</f>
        <v>656</v>
      </c>
      <c r="J17" s="40" t="str">
        <f>TEXT(E17,"ddd")</f>
        <v>Fri</v>
      </c>
    </row>
    <row r="18" spans="1:10" ht="15.75" x14ac:dyDescent="0.25">
      <c r="A18" s="36">
        <v>13</v>
      </c>
      <c r="B18" s="36" t="s">
        <v>199</v>
      </c>
      <c r="C18" s="36" t="s">
        <v>56</v>
      </c>
      <c r="D18" s="36" t="s">
        <v>57</v>
      </c>
      <c r="E18" s="37">
        <v>33992</v>
      </c>
      <c r="F18" s="38" t="s">
        <v>203</v>
      </c>
      <c r="G18" s="36">
        <v>35.5</v>
      </c>
      <c r="H18" s="39">
        <v>50</v>
      </c>
      <c r="I18" s="39">
        <f>G18*H18</f>
        <v>1775</v>
      </c>
      <c r="J18" s="40" t="str">
        <f>TEXT(E18,"ddd")</f>
        <v>Sat</v>
      </c>
    </row>
    <row r="19" spans="1:10" ht="15.75" x14ac:dyDescent="0.25">
      <c r="A19" s="36">
        <v>14</v>
      </c>
      <c r="B19" s="36" t="s">
        <v>200</v>
      </c>
      <c r="C19" s="36" t="s">
        <v>58</v>
      </c>
      <c r="D19" s="36" t="s">
        <v>59</v>
      </c>
      <c r="E19" s="37">
        <v>35195</v>
      </c>
      <c r="F19" s="38" t="s">
        <v>204</v>
      </c>
      <c r="G19" s="36">
        <v>40</v>
      </c>
      <c r="H19" s="39">
        <v>22.22</v>
      </c>
      <c r="I19" s="39">
        <f>G19*H19</f>
        <v>888.8</v>
      </c>
      <c r="J19" s="40" t="str">
        <f>TEXT(E19,"ddd")</f>
        <v>Fri</v>
      </c>
    </row>
    <row r="20" spans="1:10" ht="15.75" x14ac:dyDescent="0.25">
      <c r="A20" s="36">
        <v>15</v>
      </c>
      <c r="B20" s="36" t="s">
        <v>201</v>
      </c>
      <c r="C20" s="36" t="s">
        <v>60</v>
      </c>
      <c r="D20" s="36" t="s">
        <v>61</v>
      </c>
      <c r="E20" s="37">
        <v>34858</v>
      </c>
      <c r="F20" s="38" t="s">
        <v>205</v>
      </c>
      <c r="G20" s="36">
        <v>40</v>
      </c>
      <c r="H20" s="39">
        <v>27.6</v>
      </c>
      <c r="I20" s="39">
        <f>G20*H20</f>
        <v>1104</v>
      </c>
      <c r="J20" s="40" t="str">
        <f>TEXT(E20,"ddd")</f>
        <v>Thu</v>
      </c>
    </row>
    <row r="21" spans="1:10" ht="15.75" x14ac:dyDescent="0.25">
      <c r="A21" s="36">
        <v>21</v>
      </c>
      <c r="B21" s="36" t="s">
        <v>199</v>
      </c>
      <c r="C21" s="36" t="s">
        <v>72</v>
      </c>
      <c r="D21" s="36" t="s">
        <v>73</v>
      </c>
      <c r="E21" s="37">
        <v>33649</v>
      </c>
      <c r="F21" s="38" t="s">
        <v>205</v>
      </c>
      <c r="G21" s="36">
        <v>25</v>
      </c>
      <c r="H21" s="39">
        <v>23.52</v>
      </c>
      <c r="I21" s="39">
        <f>G21*H21</f>
        <v>588</v>
      </c>
      <c r="J21" s="40" t="str">
        <f>TEXT(E21,"ddd")</f>
        <v>Sat</v>
      </c>
    </row>
    <row r="22" spans="1:10" ht="15.75" x14ac:dyDescent="0.25">
      <c r="A22" s="36">
        <v>17</v>
      </c>
      <c r="B22" s="36" t="s">
        <v>199</v>
      </c>
      <c r="C22" s="36" t="s">
        <v>64</v>
      </c>
      <c r="D22" s="36" t="s">
        <v>65</v>
      </c>
      <c r="E22" s="37">
        <v>34094</v>
      </c>
      <c r="F22" s="38" t="s">
        <v>204</v>
      </c>
      <c r="G22" s="36">
        <v>40</v>
      </c>
      <c r="H22" s="39">
        <v>37</v>
      </c>
      <c r="I22" s="39">
        <f>G22*H22</f>
        <v>1480</v>
      </c>
      <c r="J22" s="40" t="str">
        <f>TEXT(E22,"ddd")</f>
        <v>Wed</v>
      </c>
    </row>
    <row r="23" spans="1:10" ht="15.75" x14ac:dyDescent="0.25">
      <c r="A23" s="36">
        <v>18</v>
      </c>
      <c r="B23" s="36" t="s">
        <v>200</v>
      </c>
      <c r="C23" s="36" t="s">
        <v>66</v>
      </c>
      <c r="D23" s="36" t="s">
        <v>67</v>
      </c>
      <c r="E23" s="37">
        <v>35050</v>
      </c>
      <c r="F23" s="38" t="s">
        <v>205</v>
      </c>
      <c r="G23" s="36">
        <v>40</v>
      </c>
      <c r="H23" s="39">
        <v>37</v>
      </c>
      <c r="I23" s="39">
        <f>G23*H23</f>
        <v>1480</v>
      </c>
      <c r="J23" s="40" t="str">
        <f>TEXT(E23,"ddd")</f>
        <v>Sun</v>
      </c>
    </row>
    <row r="24" spans="1:10" ht="15.75" x14ac:dyDescent="0.25">
      <c r="A24" s="36">
        <v>19</v>
      </c>
      <c r="B24" s="36" t="s">
        <v>201</v>
      </c>
      <c r="C24" s="36" t="s">
        <v>68</v>
      </c>
      <c r="D24" s="36" t="s">
        <v>69</v>
      </c>
      <c r="E24" s="37">
        <v>34871</v>
      </c>
      <c r="F24" s="38" t="s">
        <v>203</v>
      </c>
      <c r="G24" s="36">
        <v>40</v>
      </c>
      <c r="H24" s="39">
        <v>30</v>
      </c>
      <c r="I24" s="39">
        <f>G24*H24</f>
        <v>1200</v>
      </c>
      <c r="J24" s="40" t="str">
        <f>TEXT(E24,"ddd")</f>
        <v>Wed</v>
      </c>
    </row>
    <row r="25" spans="1:10" ht="15.75" x14ac:dyDescent="0.25">
      <c r="A25" s="36">
        <v>20</v>
      </c>
      <c r="B25" s="36" t="s">
        <v>202</v>
      </c>
      <c r="C25" s="36" t="s">
        <v>70</v>
      </c>
      <c r="D25" s="36" t="s">
        <v>71</v>
      </c>
      <c r="E25" s="37">
        <v>34534</v>
      </c>
      <c r="F25" s="38" t="s">
        <v>204</v>
      </c>
      <c r="G25" s="36">
        <v>35.5</v>
      </c>
      <c r="H25" s="39">
        <v>27.5</v>
      </c>
      <c r="I25" s="39">
        <f>G25*H25</f>
        <v>976.25</v>
      </c>
      <c r="J25" s="40" t="str">
        <f>TEXT(E25,"ddd")</f>
        <v>Tue</v>
      </c>
    </row>
    <row r="26" spans="1:10" ht="15.75" x14ac:dyDescent="0.25">
      <c r="A26" s="36">
        <v>29</v>
      </c>
      <c r="B26" s="36" t="s">
        <v>199</v>
      </c>
      <c r="C26" s="36" t="s">
        <v>87</v>
      </c>
      <c r="D26" s="36" t="s">
        <v>88</v>
      </c>
      <c r="E26" s="37">
        <v>33831</v>
      </c>
      <c r="F26" s="38" t="s">
        <v>204</v>
      </c>
      <c r="G26" s="36">
        <v>32</v>
      </c>
      <c r="H26" s="39">
        <v>20.5</v>
      </c>
      <c r="I26" s="39">
        <f>G26*H26</f>
        <v>656</v>
      </c>
      <c r="J26" s="40" t="str">
        <f>TEXT(E26,"ddd")</f>
        <v>Sat</v>
      </c>
    </row>
    <row r="27" spans="1:10" ht="15.75" x14ac:dyDescent="0.25">
      <c r="A27" s="36">
        <v>22</v>
      </c>
      <c r="B27" s="36" t="s">
        <v>200</v>
      </c>
      <c r="C27" s="36" t="s">
        <v>74</v>
      </c>
      <c r="D27" s="36" t="s">
        <v>75</v>
      </c>
      <c r="E27" s="37">
        <v>33634</v>
      </c>
      <c r="F27" s="38" t="s">
        <v>203</v>
      </c>
      <c r="G27" s="36">
        <v>40</v>
      </c>
      <c r="H27" s="39">
        <v>23.75</v>
      </c>
      <c r="I27" s="39">
        <f>G27*H27</f>
        <v>950</v>
      </c>
      <c r="J27" s="40" t="str">
        <f>TEXT(E27,"ddd")</f>
        <v>Fri</v>
      </c>
    </row>
    <row r="28" spans="1:10" ht="15.75" x14ac:dyDescent="0.25">
      <c r="A28" s="36">
        <v>23</v>
      </c>
      <c r="B28" s="36" t="s">
        <v>201</v>
      </c>
      <c r="C28" s="36" t="s">
        <v>76</v>
      </c>
      <c r="D28" s="36" t="s">
        <v>77</v>
      </c>
      <c r="E28" s="37">
        <v>32573</v>
      </c>
      <c r="F28" s="38" t="s">
        <v>204</v>
      </c>
      <c r="G28" s="36">
        <v>40</v>
      </c>
      <c r="H28" s="39">
        <v>60</v>
      </c>
      <c r="I28" s="39">
        <f>G28*H28</f>
        <v>2400</v>
      </c>
      <c r="J28" s="40" t="str">
        <f>TEXT(E28,"ddd")</f>
        <v>Mon</v>
      </c>
    </row>
    <row r="29" spans="1:10" ht="15.75" x14ac:dyDescent="0.25">
      <c r="A29" s="36">
        <v>24</v>
      </c>
      <c r="B29" s="36" t="s">
        <v>202</v>
      </c>
      <c r="C29" s="36" t="s">
        <v>78</v>
      </c>
      <c r="D29" s="36" t="s">
        <v>79</v>
      </c>
      <c r="E29" s="37">
        <v>33700</v>
      </c>
      <c r="F29" s="38" t="s">
        <v>205</v>
      </c>
      <c r="G29" s="36">
        <v>40</v>
      </c>
      <c r="H29" s="39">
        <v>52</v>
      </c>
      <c r="I29" s="39">
        <f>G29*H29</f>
        <v>2080</v>
      </c>
      <c r="J29" s="40" t="str">
        <f>TEXT(E29,"ddd")</f>
        <v>Mon</v>
      </c>
    </row>
    <row r="30" spans="1:10" ht="15.75" x14ac:dyDescent="0.25">
      <c r="A30" s="36">
        <v>25</v>
      </c>
      <c r="B30" s="36" t="s">
        <v>199</v>
      </c>
      <c r="C30" s="36" t="s">
        <v>80</v>
      </c>
      <c r="D30" s="36" t="s">
        <v>81</v>
      </c>
      <c r="E30" s="37">
        <v>35747</v>
      </c>
      <c r="F30" s="38" t="s">
        <v>203</v>
      </c>
      <c r="G30" s="36">
        <v>40</v>
      </c>
      <c r="H30" s="39">
        <v>30.5</v>
      </c>
      <c r="I30" s="39">
        <f>G30*H30</f>
        <v>1220</v>
      </c>
      <c r="J30" s="40" t="str">
        <f>TEXT(E30,"ddd")</f>
        <v>Thu</v>
      </c>
    </row>
    <row r="31" spans="1:10" ht="15.75" x14ac:dyDescent="0.25">
      <c r="A31" s="36">
        <v>26</v>
      </c>
      <c r="B31" s="36" t="s">
        <v>200</v>
      </c>
      <c r="C31" s="36" t="s">
        <v>82</v>
      </c>
      <c r="D31" s="36" t="s">
        <v>83</v>
      </c>
      <c r="E31" s="37">
        <v>36374</v>
      </c>
      <c r="F31" s="38" t="s">
        <v>204</v>
      </c>
      <c r="G31" s="36">
        <v>32</v>
      </c>
      <c r="H31" s="39">
        <v>20.5</v>
      </c>
      <c r="I31" s="39">
        <f>G31*H31</f>
        <v>656</v>
      </c>
      <c r="J31" s="40" t="str">
        <f>TEXT(E31,"ddd")</f>
        <v>Mon</v>
      </c>
    </row>
    <row r="32" spans="1:10" ht="15.75" x14ac:dyDescent="0.25">
      <c r="A32" s="36">
        <v>27</v>
      </c>
      <c r="B32" s="36" t="s">
        <v>201</v>
      </c>
      <c r="C32" s="36" t="s">
        <v>84</v>
      </c>
      <c r="D32" s="36" t="s">
        <v>85</v>
      </c>
      <c r="E32" s="37">
        <v>34279</v>
      </c>
      <c r="F32" s="38" t="s">
        <v>205</v>
      </c>
      <c r="G32" s="36">
        <v>40</v>
      </c>
      <c r="H32" s="39">
        <v>34.5</v>
      </c>
      <c r="I32" s="39">
        <f>G32*H32</f>
        <v>1380</v>
      </c>
      <c r="J32" s="40" t="str">
        <f>TEXT(E32,"ddd")</f>
        <v>Sat</v>
      </c>
    </row>
    <row r="33" spans="1:10" ht="15.75" x14ac:dyDescent="0.25">
      <c r="A33" s="36">
        <v>28</v>
      </c>
      <c r="B33" s="36" t="s">
        <v>202</v>
      </c>
      <c r="C33" s="36" t="s">
        <v>60</v>
      </c>
      <c r="D33" s="36" t="s">
        <v>86</v>
      </c>
      <c r="E33" s="37">
        <v>33497</v>
      </c>
      <c r="F33" s="38" t="s">
        <v>203</v>
      </c>
      <c r="G33" s="36">
        <v>40</v>
      </c>
      <c r="H33" s="39">
        <v>45</v>
      </c>
      <c r="I33" s="39">
        <f>G33*H33</f>
        <v>1800</v>
      </c>
      <c r="J33" s="40" t="str">
        <f>TEXT(E33,"ddd")</f>
        <v>Mon</v>
      </c>
    </row>
    <row r="34" spans="1:10" ht="15.75" x14ac:dyDescent="0.25">
      <c r="A34" s="36">
        <v>57</v>
      </c>
      <c r="B34" s="36" t="s">
        <v>199</v>
      </c>
      <c r="C34" s="36" t="s">
        <v>109</v>
      </c>
      <c r="D34" s="36" t="s">
        <v>137</v>
      </c>
      <c r="E34" s="37">
        <v>32732</v>
      </c>
      <c r="F34" s="38" t="s">
        <v>205</v>
      </c>
      <c r="G34" s="36">
        <v>38</v>
      </c>
      <c r="H34" s="39">
        <v>30.5</v>
      </c>
      <c r="I34" s="39">
        <f>G34*H34</f>
        <v>1159</v>
      </c>
      <c r="J34" s="40" t="str">
        <f>TEXT(E34,"ddd")</f>
        <v>Sat</v>
      </c>
    </row>
    <row r="35" spans="1:10" ht="15.75" x14ac:dyDescent="0.25">
      <c r="A35" s="36">
        <v>30</v>
      </c>
      <c r="B35" s="36" t="s">
        <v>200</v>
      </c>
      <c r="C35" s="36" t="s">
        <v>89</v>
      </c>
      <c r="D35" s="36" t="s">
        <v>90</v>
      </c>
      <c r="E35" s="37">
        <v>33837</v>
      </c>
      <c r="F35" s="38" t="s">
        <v>205</v>
      </c>
      <c r="G35" s="36">
        <v>40</v>
      </c>
      <c r="H35" s="39">
        <v>36.5</v>
      </c>
      <c r="I35" s="39">
        <f>G35*H35</f>
        <v>1460</v>
      </c>
      <c r="J35" s="40" t="str">
        <f>TEXT(E35,"ddd")</f>
        <v>Fri</v>
      </c>
    </row>
    <row r="36" spans="1:10" ht="15.75" x14ac:dyDescent="0.25">
      <c r="A36" s="36">
        <v>31</v>
      </c>
      <c r="B36" s="36" t="s">
        <v>201</v>
      </c>
      <c r="C36" s="36" t="s">
        <v>91</v>
      </c>
      <c r="D36" s="36" t="s">
        <v>92</v>
      </c>
      <c r="E36" s="37">
        <v>35775</v>
      </c>
      <c r="F36" s="38" t="s">
        <v>203</v>
      </c>
      <c r="G36" s="36">
        <v>25</v>
      </c>
      <c r="H36" s="39">
        <v>23.52</v>
      </c>
      <c r="I36" s="39">
        <f>G36*H36</f>
        <v>588</v>
      </c>
      <c r="J36" s="40" t="str">
        <f>TEXT(E36,"ddd")</f>
        <v>Thu</v>
      </c>
    </row>
    <row r="37" spans="1:10" ht="15.75" x14ac:dyDescent="0.25">
      <c r="A37" s="36">
        <v>32</v>
      </c>
      <c r="B37" s="36" t="s">
        <v>202</v>
      </c>
      <c r="C37" s="36" t="s">
        <v>62</v>
      </c>
      <c r="D37" s="36" t="s">
        <v>37</v>
      </c>
      <c r="E37" s="37">
        <v>36194</v>
      </c>
      <c r="F37" s="38" t="s">
        <v>204</v>
      </c>
      <c r="G37" s="36">
        <v>35</v>
      </c>
      <c r="H37" s="39">
        <v>27.1</v>
      </c>
      <c r="I37" s="39">
        <f>G37*H37</f>
        <v>948.5</v>
      </c>
      <c r="J37" s="40" t="str">
        <f>TEXT(E37,"ddd")</f>
        <v>Wed</v>
      </c>
    </row>
    <row r="38" spans="1:10" ht="15.75" x14ac:dyDescent="0.25">
      <c r="A38" s="36">
        <v>33</v>
      </c>
      <c r="B38" s="36" t="s">
        <v>199</v>
      </c>
      <c r="C38" s="36" t="s">
        <v>93</v>
      </c>
      <c r="D38" s="36" t="s">
        <v>94</v>
      </c>
      <c r="E38" s="37">
        <v>36017</v>
      </c>
      <c r="F38" s="38" t="s">
        <v>205</v>
      </c>
      <c r="G38" s="36">
        <v>35</v>
      </c>
      <c r="H38" s="39">
        <v>50</v>
      </c>
      <c r="I38" s="39">
        <f>G38*H38</f>
        <v>1750</v>
      </c>
      <c r="J38" s="40" t="str">
        <f>TEXT(E38,"ddd")</f>
        <v>Mon</v>
      </c>
    </row>
    <row r="39" spans="1:10" ht="15.75" x14ac:dyDescent="0.25">
      <c r="A39" s="36">
        <v>34</v>
      </c>
      <c r="B39" s="36" t="s">
        <v>200</v>
      </c>
      <c r="C39" s="36" t="s">
        <v>95</v>
      </c>
      <c r="D39" s="36" t="s">
        <v>73</v>
      </c>
      <c r="E39" s="37">
        <v>35372</v>
      </c>
      <c r="F39" s="38" t="s">
        <v>203</v>
      </c>
      <c r="G39" s="36">
        <v>40</v>
      </c>
      <c r="H39" s="39">
        <v>34.5</v>
      </c>
      <c r="I39" s="39">
        <f>G39*H39</f>
        <v>1380</v>
      </c>
      <c r="J39" s="40" t="str">
        <f>TEXT(E39,"ddd")</f>
        <v>Sun</v>
      </c>
    </row>
    <row r="40" spans="1:10" ht="15.75" x14ac:dyDescent="0.25">
      <c r="A40" s="36">
        <v>35</v>
      </c>
      <c r="B40" s="36" t="s">
        <v>201</v>
      </c>
      <c r="C40" s="36" t="s">
        <v>96</v>
      </c>
      <c r="D40" s="36" t="s">
        <v>97</v>
      </c>
      <c r="E40" s="37">
        <v>35026</v>
      </c>
      <c r="F40" s="38" t="s">
        <v>204</v>
      </c>
      <c r="G40" s="36">
        <v>35.5</v>
      </c>
      <c r="H40" s="39">
        <v>55</v>
      </c>
      <c r="I40" s="39">
        <f>G40*H40</f>
        <v>1952.5</v>
      </c>
      <c r="J40" s="40" t="str">
        <f>TEXT(E40,"ddd")</f>
        <v>Thu</v>
      </c>
    </row>
    <row r="41" spans="1:10" ht="15.75" x14ac:dyDescent="0.25">
      <c r="A41" s="36">
        <v>61</v>
      </c>
      <c r="B41" s="36" t="s">
        <v>199</v>
      </c>
      <c r="C41" s="36" t="s">
        <v>143</v>
      </c>
      <c r="D41" s="36" t="s">
        <v>144</v>
      </c>
      <c r="E41" s="37">
        <v>34846</v>
      </c>
      <c r="F41" s="38" t="s">
        <v>203</v>
      </c>
      <c r="G41" s="36">
        <v>25</v>
      </c>
      <c r="H41" s="39">
        <v>23.52</v>
      </c>
      <c r="I41" s="39">
        <f>G41*H41</f>
        <v>588</v>
      </c>
      <c r="J41" s="40" t="str">
        <f>TEXT(E41,"ddd")</f>
        <v>Sat</v>
      </c>
    </row>
    <row r="42" spans="1:10" ht="15.75" x14ac:dyDescent="0.25">
      <c r="A42" s="36">
        <v>37</v>
      </c>
      <c r="B42" s="36" t="s">
        <v>199</v>
      </c>
      <c r="C42" s="36" t="s">
        <v>96</v>
      </c>
      <c r="D42" s="36" t="s">
        <v>100</v>
      </c>
      <c r="E42" s="37">
        <v>34949</v>
      </c>
      <c r="F42" s="38" t="s">
        <v>203</v>
      </c>
      <c r="G42" s="36">
        <v>29.5</v>
      </c>
      <c r="H42" s="39">
        <v>21.5</v>
      </c>
      <c r="I42" s="39">
        <f>G42*H42</f>
        <v>634.25</v>
      </c>
      <c r="J42" s="40" t="str">
        <f>TEXT(E42,"ddd")</f>
        <v>Thu</v>
      </c>
    </row>
    <row r="43" spans="1:10" ht="15.75" x14ac:dyDescent="0.25">
      <c r="A43" s="36">
        <v>38</v>
      </c>
      <c r="B43" s="36" t="s">
        <v>200</v>
      </c>
      <c r="C43" s="36" t="s">
        <v>101</v>
      </c>
      <c r="D43" s="36" t="s">
        <v>102</v>
      </c>
      <c r="E43" s="37">
        <v>33404</v>
      </c>
      <c r="F43" s="38" t="s">
        <v>204</v>
      </c>
      <c r="G43" s="36">
        <v>38</v>
      </c>
      <c r="H43" s="39">
        <v>30.5</v>
      </c>
      <c r="I43" s="39">
        <f>G43*H43</f>
        <v>1159</v>
      </c>
      <c r="J43" s="40" t="str">
        <f>TEXT(E43,"ddd")</f>
        <v>Sat</v>
      </c>
    </row>
    <row r="44" spans="1:10" ht="15.75" x14ac:dyDescent="0.25">
      <c r="A44" s="36">
        <v>39</v>
      </c>
      <c r="B44" s="36" t="s">
        <v>201</v>
      </c>
      <c r="C44" s="36" t="s">
        <v>103</v>
      </c>
      <c r="D44" s="36" t="s">
        <v>104</v>
      </c>
      <c r="E44" s="37">
        <v>35655</v>
      </c>
      <c r="F44" s="38" t="s">
        <v>205</v>
      </c>
      <c r="G44" s="36">
        <v>40</v>
      </c>
      <c r="H44" s="39">
        <v>37</v>
      </c>
      <c r="I44" s="39">
        <f>G44*H44</f>
        <v>1480</v>
      </c>
      <c r="J44" s="40" t="str">
        <f>TEXT(E44,"ddd")</f>
        <v>Wed</v>
      </c>
    </row>
    <row r="45" spans="1:10" ht="15.75" x14ac:dyDescent="0.25">
      <c r="A45" s="36">
        <v>40</v>
      </c>
      <c r="B45" s="36" t="s">
        <v>202</v>
      </c>
      <c r="C45" s="36" t="s">
        <v>105</v>
      </c>
      <c r="D45" s="36" t="s">
        <v>106</v>
      </c>
      <c r="E45" s="37">
        <v>35005</v>
      </c>
      <c r="F45" s="38" t="s">
        <v>203</v>
      </c>
      <c r="G45" s="36">
        <v>38</v>
      </c>
      <c r="H45" s="39">
        <v>30.5</v>
      </c>
      <c r="I45" s="39">
        <f>G45*H45</f>
        <v>1159</v>
      </c>
      <c r="J45" s="40" t="str">
        <f>TEXT(E45,"ddd")</f>
        <v>Thu</v>
      </c>
    </row>
    <row r="46" spans="1:10" ht="15.75" x14ac:dyDescent="0.25">
      <c r="A46" s="36">
        <v>41</v>
      </c>
      <c r="B46" s="36" t="s">
        <v>199</v>
      </c>
      <c r="C46" s="36" t="s">
        <v>107</v>
      </c>
      <c r="D46" s="36" t="s">
        <v>108</v>
      </c>
      <c r="E46" s="37">
        <v>34471</v>
      </c>
      <c r="F46" s="38" t="s">
        <v>204</v>
      </c>
      <c r="G46" s="36">
        <v>40</v>
      </c>
      <c r="H46" s="39">
        <v>23.22</v>
      </c>
      <c r="I46" s="39">
        <f>G46*H46</f>
        <v>928.8</v>
      </c>
      <c r="J46" s="40" t="str">
        <f>TEXT(E46,"ddd")</f>
        <v>Tue</v>
      </c>
    </row>
    <row r="47" spans="1:10" ht="15.75" x14ac:dyDescent="0.25">
      <c r="A47" s="36">
        <v>42</v>
      </c>
      <c r="B47" s="36" t="s">
        <v>200</v>
      </c>
      <c r="C47" s="36" t="s">
        <v>109</v>
      </c>
      <c r="D47" s="36" t="s">
        <v>110</v>
      </c>
      <c r="E47" s="37">
        <v>32883</v>
      </c>
      <c r="F47" s="38" t="s">
        <v>205</v>
      </c>
      <c r="G47" s="36">
        <v>40</v>
      </c>
      <c r="H47" s="39">
        <v>45</v>
      </c>
      <c r="I47" s="39">
        <f>G47*H47</f>
        <v>1800</v>
      </c>
      <c r="J47" s="40" t="str">
        <f>TEXT(E47,"ddd")</f>
        <v>Wed</v>
      </c>
    </row>
    <row r="48" spans="1:10" ht="15.75" x14ac:dyDescent="0.25">
      <c r="A48" s="36">
        <v>43</v>
      </c>
      <c r="B48" s="36" t="s">
        <v>201</v>
      </c>
      <c r="C48" s="36" t="s">
        <v>111</v>
      </c>
      <c r="D48" s="36" t="s">
        <v>112</v>
      </c>
      <c r="E48" s="37">
        <v>34414</v>
      </c>
      <c r="F48" s="38" t="s">
        <v>203</v>
      </c>
      <c r="G48" s="36">
        <v>35</v>
      </c>
      <c r="H48" s="39">
        <v>39</v>
      </c>
      <c r="I48" s="39">
        <f>G48*H48</f>
        <v>1365</v>
      </c>
      <c r="J48" s="40" t="str">
        <f>TEXT(E48,"ddd")</f>
        <v>Mon</v>
      </c>
    </row>
    <row r="49" spans="1:10" ht="15.75" x14ac:dyDescent="0.25">
      <c r="A49" s="36">
        <v>44</v>
      </c>
      <c r="B49" s="36" t="s">
        <v>202</v>
      </c>
      <c r="C49" s="36" t="s">
        <v>113</v>
      </c>
      <c r="D49" s="36" t="s">
        <v>114</v>
      </c>
      <c r="E49" s="37">
        <v>34671</v>
      </c>
      <c r="F49" s="38" t="s">
        <v>204</v>
      </c>
      <c r="G49" s="36">
        <v>15.5</v>
      </c>
      <c r="H49" s="39">
        <v>21.5</v>
      </c>
      <c r="I49" s="39">
        <f>G49*H49</f>
        <v>333.25</v>
      </c>
      <c r="J49" s="40" t="str">
        <f>TEXT(E49,"ddd")</f>
        <v>Sat</v>
      </c>
    </row>
    <row r="50" spans="1:10" ht="15.75" x14ac:dyDescent="0.25">
      <c r="A50" s="36">
        <v>45</v>
      </c>
      <c r="B50" s="36" t="s">
        <v>199</v>
      </c>
      <c r="C50" s="36" t="s">
        <v>115</v>
      </c>
      <c r="D50" s="36" t="s">
        <v>116</v>
      </c>
      <c r="E50" s="37">
        <v>33883</v>
      </c>
      <c r="F50" s="38" t="s">
        <v>205</v>
      </c>
      <c r="G50" s="36">
        <v>40</v>
      </c>
      <c r="H50" s="39">
        <v>37</v>
      </c>
      <c r="I50" s="39">
        <f>G50*H50</f>
        <v>1480</v>
      </c>
      <c r="J50" s="40" t="str">
        <f>TEXT(E50,"ddd")</f>
        <v>Tue</v>
      </c>
    </row>
    <row r="51" spans="1:10" ht="15.75" x14ac:dyDescent="0.25">
      <c r="A51" s="36">
        <v>46</v>
      </c>
      <c r="B51" s="36" t="s">
        <v>200</v>
      </c>
      <c r="C51" s="36" t="s">
        <v>117</v>
      </c>
      <c r="D51" s="36" t="s">
        <v>118</v>
      </c>
      <c r="E51" s="37">
        <v>35427</v>
      </c>
      <c r="F51" s="38" t="s">
        <v>203</v>
      </c>
      <c r="G51" s="36">
        <v>32</v>
      </c>
      <c r="H51" s="39">
        <v>20.5</v>
      </c>
      <c r="I51" s="39">
        <f>G51*H51</f>
        <v>656</v>
      </c>
      <c r="J51" s="40" t="str">
        <f>TEXT(E51,"ddd")</f>
        <v>Sat</v>
      </c>
    </row>
    <row r="52" spans="1:10" ht="15.75" x14ac:dyDescent="0.25">
      <c r="A52" s="36">
        <v>47</v>
      </c>
      <c r="B52" s="36" t="s">
        <v>201</v>
      </c>
      <c r="C52" s="36" t="s">
        <v>119</v>
      </c>
      <c r="D52" s="36" t="s">
        <v>120</v>
      </c>
      <c r="E52" s="37">
        <v>34428</v>
      </c>
      <c r="F52" s="38" t="s">
        <v>204</v>
      </c>
      <c r="G52" s="36">
        <v>25</v>
      </c>
      <c r="H52" s="39">
        <v>23.52</v>
      </c>
      <c r="I52" s="39">
        <f>G52*H52</f>
        <v>588</v>
      </c>
      <c r="J52" s="40" t="str">
        <f>TEXT(E52,"ddd")</f>
        <v>Mon</v>
      </c>
    </row>
    <row r="53" spans="1:10" ht="15.75" x14ac:dyDescent="0.25">
      <c r="A53" s="36">
        <v>48</v>
      </c>
      <c r="B53" s="36" t="s">
        <v>202</v>
      </c>
      <c r="C53" s="36" t="s">
        <v>121</v>
      </c>
      <c r="D53" s="36" t="s">
        <v>122</v>
      </c>
      <c r="E53" s="37">
        <v>34843</v>
      </c>
      <c r="F53" s="38" t="s">
        <v>205</v>
      </c>
      <c r="G53" s="36">
        <v>38</v>
      </c>
      <c r="H53" s="39">
        <v>55</v>
      </c>
      <c r="I53" s="39">
        <f>G53*H53</f>
        <v>2090</v>
      </c>
      <c r="J53" s="40" t="str">
        <f>TEXT(E53,"ddd")</f>
        <v>Wed</v>
      </c>
    </row>
    <row r="54" spans="1:10" ht="15.75" x14ac:dyDescent="0.25">
      <c r="A54" s="36">
        <v>49</v>
      </c>
      <c r="B54" s="36" t="s">
        <v>199</v>
      </c>
      <c r="C54" s="36" t="s">
        <v>64</v>
      </c>
      <c r="D54" s="36" t="s">
        <v>123</v>
      </c>
      <c r="E54" s="37">
        <v>35034</v>
      </c>
      <c r="F54" s="38" t="s">
        <v>203</v>
      </c>
      <c r="G54" s="36">
        <v>35.5</v>
      </c>
      <c r="H54" s="39">
        <v>27.5</v>
      </c>
      <c r="I54" s="39">
        <f>G54*H54</f>
        <v>976.25</v>
      </c>
      <c r="J54" s="40" t="str">
        <f>TEXT(E54,"ddd")</f>
        <v>Fri</v>
      </c>
    </row>
    <row r="55" spans="1:10" ht="15.75" x14ac:dyDescent="0.25">
      <c r="A55" s="36">
        <v>50</v>
      </c>
      <c r="B55" s="36" t="s">
        <v>200</v>
      </c>
      <c r="C55" s="36" t="s">
        <v>124</v>
      </c>
      <c r="D55" s="36" t="s">
        <v>125</v>
      </c>
      <c r="E55" s="37">
        <v>34610</v>
      </c>
      <c r="F55" s="38" t="s">
        <v>204</v>
      </c>
      <c r="G55" s="36">
        <v>40</v>
      </c>
      <c r="H55" s="39">
        <v>36.5</v>
      </c>
      <c r="I55" s="39">
        <f>G55*H55</f>
        <v>1460</v>
      </c>
      <c r="J55" s="40" t="str">
        <f>TEXT(E55,"ddd")</f>
        <v>Mon</v>
      </c>
    </row>
    <row r="56" spans="1:10" ht="15.75" x14ac:dyDescent="0.25">
      <c r="A56" s="36">
        <v>51</v>
      </c>
      <c r="B56" s="36" t="s">
        <v>201</v>
      </c>
      <c r="C56" s="36" t="s">
        <v>70</v>
      </c>
      <c r="D56" s="36" t="s">
        <v>126</v>
      </c>
      <c r="E56" s="37">
        <v>33704</v>
      </c>
      <c r="F56" s="38" t="s">
        <v>205</v>
      </c>
      <c r="G56" s="36">
        <v>38</v>
      </c>
      <c r="H56" s="39">
        <v>30.5</v>
      </c>
      <c r="I56" s="39">
        <f>G56*H56</f>
        <v>1159</v>
      </c>
      <c r="J56" s="40" t="str">
        <f>TEXT(E56,"ddd")</f>
        <v>Fri</v>
      </c>
    </row>
    <row r="57" spans="1:10" ht="15.75" x14ac:dyDescent="0.25">
      <c r="A57" s="36">
        <v>52</v>
      </c>
      <c r="B57" s="36" t="s">
        <v>202</v>
      </c>
      <c r="C57" s="36" t="s">
        <v>127</v>
      </c>
      <c r="D57" s="36" t="s">
        <v>128</v>
      </c>
      <c r="E57" s="37">
        <v>34998</v>
      </c>
      <c r="F57" s="38" t="s">
        <v>203</v>
      </c>
      <c r="G57" s="36">
        <v>40</v>
      </c>
      <c r="H57" s="39">
        <v>36.5</v>
      </c>
      <c r="I57" s="39">
        <f>G57*H57</f>
        <v>1460</v>
      </c>
      <c r="J57" s="40" t="str">
        <f>TEXT(E57,"ddd")</f>
        <v>Thu</v>
      </c>
    </row>
    <row r="58" spans="1:10" ht="15.75" x14ac:dyDescent="0.25">
      <c r="A58" s="36">
        <v>53</v>
      </c>
      <c r="B58" s="36" t="s">
        <v>199</v>
      </c>
      <c r="C58" s="36" t="s">
        <v>129</v>
      </c>
      <c r="D58" s="36" t="s">
        <v>130</v>
      </c>
      <c r="E58" s="37">
        <v>34347</v>
      </c>
      <c r="F58" s="38" t="s">
        <v>204</v>
      </c>
      <c r="G58" s="36">
        <v>35</v>
      </c>
      <c r="H58" s="39">
        <v>39</v>
      </c>
      <c r="I58" s="39">
        <f>G58*H58</f>
        <v>1365</v>
      </c>
      <c r="J58" s="40" t="str">
        <f>TEXT(E58,"ddd")</f>
        <v>Thu</v>
      </c>
    </row>
    <row r="59" spans="1:10" ht="15.75" x14ac:dyDescent="0.25">
      <c r="A59" s="36">
        <v>54</v>
      </c>
      <c r="B59" s="36" t="s">
        <v>200</v>
      </c>
      <c r="C59" s="36" t="s">
        <v>131</v>
      </c>
      <c r="D59" s="36" t="s">
        <v>132</v>
      </c>
      <c r="E59" s="37">
        <v>34615</v>
      </c>
      <c r="F59" s="38" t="s">
        <v>205</v>
      </c>
      <c r="G59" s="36">
        <v>40</v>
      </c>
      <c r="H59" s="39">
        <v>36.5</v>
      </c>
      <c r="I59" s="39">
        <f>G59*H59</f>
        <v>1460</v>
      </c>
      <c r="J59" s="40" t="str">
        <f>TEXT(E59,"ddd")</f>
        <v>Sat</v>
      </c>
    </row>
    <row r="60" spans="1:10" ht="15.75" x14ac:dyDescent="0.25">
      <c r="A60" s="36">
        <v>55</v>
      </c>
      <c r="B60" s="36" t="s">
        <v>201</v>
      </c>
      <c r="C60" s="36" t="s">
        <v>133</v>
      </c>
      <c r="D60" s="36" t="s">
        <v>134</v>
      </c>
      <c r="E60" s="37">
        <v>35221</v>
      </c>
      <c r="F60" s="38" t="s">
        <v>203</v>
      </c>
      <c r="G60" s="36">
        <v>25</v>
      </c>
      <c r="H60" s="39">
        <v>23.52</v>
      </c>
      <c r="I60" s="39">
        <f>G60*H60</f>
        <v>588</v>
      </c>
      <c r="J60" s="40" t="str">
        <f>TEXT(E60,"ddd")</f>
        <v>Wed</v>
      </c>
    </row>
    <row r="61" spans="1:10" ht="15.75" x14ac:dyDescent="0.25">
      <c r="A61" s="36">
        <v>56</v>
      </c>
      <c r="B61" s="36" t="s">
        <v>202</v>
      </c>
      <c r="C61" s="36" t="s">
        <v>135</v>
      </c>
      <c r="D61" s="36" t="s">
        <v>136</v>
      </c>
      <c r="E61" s="37">
        <v>36181</v>
      </c>
      <c r="F61" s="38" t="s">
        <v>204</v>
      </c>
      <c r="G61" s="36">
        <v>40</v>
      </c>
      <c r="H61" s="39">
        <v>36.5</v>
      </c>
      <c r="I61" s="39">
        <f>G61*H61</f>
        <v>1460</v>
      </c>
      <c r="J61" s="40" t="str">
        <f>TEXT(E61,"ddd")</f>
        <v>Thu</v>
      </c>
    </row>
    <row r="62" spans="1:10" ht="15.75" x14ac:dyDescent="0.25">
      <c r="A62" s="36">
        <v>81</v>
      </c>
      <c r="B62" s="36" t="s">
        <v>199</v>
      </c>
      <c r="C62" s="36" t="s">
        <v>174</v>
      </c>
      <c r="D62" s="36" t="s">
        <v>175</v>
      </c>
      <c r="E62" s="37">
        <v>33908</v>
      </c>
      <c r="F62" s="38" t="s">
        <v>205</v>
      </c>
      <c r="G62" s="36">
        <v>40</v>
      </c>
      <c r="H62" s="39">
        <v>30.5</v>
      </c>
      <c r="I62" s="39">
        <f>G62*H62</f>
        <v>1220</v>
      </c>
      <c r="J62" s="40" t="str">
        <f>TEXT(E62,"ddd")</f>
        <v>Sat</v>
      </c>
    </row>
    <row r="63" spans="1:10" ht="15.75" x14ac:dyDescent="0.25">
      <c r="A63" s="36">
        <v>58</v>
      </c>
      <c r="B63" s="36" t="s">
        <v>200</v>
      </c>
      <c r="C63" s="36" t="s">
        <v>138</v>
      </c>
      <c r="D63" s="36" t="s">
        <v>139</v>
      </c>
      <c r="E63" s="37">
        <v>35755</v>
      </c>
      <c r="F63" s="38" t="s">
        <v>203</v>
      </c>
      <c r="G63" s="36">
        <v>40</v>
      </c>
      <c r="H63" s="39">
        <v>27.6</v>
      </c>
      <c r="I63" s="39">
        <f>G63*H63</f>
        <v>1104</v>
      </c>
      <c r="J63" s="40" t="str">
        <f>TEXT(E63,"ddd")</f>
        <v>Fri</v>
      </c>
    </row>
    <row r="64" spans="1:10" ht="15.75" x14ac:dyDescent="0.25">
      <c r="A64" s="36">
        <v>59</v>
      </c>
      <c r="B64" s="36" t="s">
        <v>201</v>
      </c>
      <c r="C64" s="36" t="s">
        <v>140</v>
      </c>
      <c r="D64" s="36" t="s">
        <v>37</v>
      </c>
      <c r="E64" s="37">
        <v>34709</v>
      </c>
      <c r="F64" s="38" t="s">
        <v>204</v>
      </c>
      <c r="G64" s="36">
        <v>42</v>
      </c>
      <c r="H64" s="39">
        <v>45</v>
      </c>
      <c r="I64" s="39">
        <f>G64*H64</f>
        <v>1890</v>
      </c>
      <c r="J64" s="40" t="str">
        <f>TEXT(E64,"ddd")</f>
        <v>Tue</v>
      </c>
    </row>
    <row r="65" spans="1:10" ht="15.75" x14ac:dyDescent="0.25">
      <c r="A65" s="36">
        <v>60</v>
      </c>
      <c r="B65" s="36" t="s">
        <v>202</v>
      </c>
      <c r="C65" s="36" t="s">
        <v>141</v>
      </c>
      <c r="D65" s="36" t="s">
        <v>142</v>
      </c>
      <c r="E65" s="37">
        <v>34500</v>
      </c>
      <c r="F65" s="38" t="s">
        <v>205</v>
      </c>
      <c r="G65" s="36">
        <v>40</v>
      </c>
      <c r="H65" s="39">
        <v>23.75</v>
      </c>
      <c r="I65" s="39">
        <f>G65*H65</f>
        <v>950</v>
      </c>
      <c r="J65" s="40" t="str">
        <f>TEXT(E65,"ddd")</f>
        <v>Wed</v>
      </c>
    </row>
    <row r="66" spans="1:10" ht="15.75" x14ac:dyDescent="0.25">
      <c r="A66" s="36">
        <v>16</v>
      </c>
      <c r="B66" s="36" t="s">
        <v>202</v>
      </c>
      <c r="C66" s="36" t="s">
        <v>62</v>
      </c>
      <c r="D66" s="36" t="s">
        <v>63</v>
      </c>
      <c r="E66" s="37">
        <v>34616</v>
      </c>
      <c r="F66" s="38" t="s">
        <v>203</v>
      </c>
      <c r="G66" s="36">
        <v>35.5</v>
      </c>
      <c r="H66" s="39">
        <v>55</v>
      </c>
      <c r="I66" s="39">
        <f>G66*H66</f>
        <v>1952.5</v>
      </c>
      <c r="J66" s="40" t="str">
        <f>TEXT(E66,"ddd")</f>
        <v>Sun</v>
      </c>
    </row>
    <row r="67" spans="1:10" ht="15.75" x14ac:dyDescent="0.25">
      <c r="A67" s="36">
        <v>62</v>
      </c>
      <c r="B67" s="36" t="s">
        <v>200</v>
      </c>
      <c r="C67" s="36" t="s">
        <v>111</v>
      </c>
      <c r="D67" s="36" t="s">
        <v>145</v>
      </c>
      <c r="E67" s="37">
        <v>35545</v>
      </c>
      <c r="F67" s="38" t="s">
        <v>204</v>
      </c>
      <c r="G67" s="36">
        <v>15.5</v>
      </c>
      <c r="H67" s="39">
        <v>21.5</v>
      </c>
      <c r="I67" s="39">
        <f>G67*H67</f>
        <v>333.25</v>
      </c>
      <c r="J67" s="40" t="str">
        <f>TEXT(E67,"ddd")</f>
        <v>Fri</v>
      </c>
    </row>
    <row r="68" spans="1:10" ht="15.75" x14ac:dyDescent="0.25">
      <c r="A68" s="36">
        <v>63</v>
      </c>
      <c r="B68" s="36" t="s">
        <v>201</v>
      </c>
      <c r="C68" s="36" t="s">
        <v>146</v>
      </c>
      <c r="D68" s="36" t="s">
        <v>147</v>
      </c>
      <c r="E68" s="37">
        <v>33059</v>
      </c>
      <c r="F68" s="38" t="s">
        <v>205</v>
      </c>
      <c r="G68" s="36">
        <v>40</v>
      </c>
      <c r="H68" s="39">
        <v>30.5</v>
      </c>
      <c r="I68" s="39">
        <f>G68*H68</f>
        <v>1220</v>
      </c>
      <c r="J68" s="40" t="str">
        <f>TEXT(E68,"ddd")</f>
        <v>Thu</v>
      </c>
    </row>
    <row r="69" spans="1:10" ht="15.75" x14ac:dyDescent="0.25">
      <c r="A69" s="36">
        <v>64</v>
      </c>
      <c r="B69" s="36" t="s">
        <v>202</v>
      </c>
      <c r="C69" s="36" t="s">
        <v>148</v>
      </c>
      <c r="D69" s="36" t="s">
        <v>149</v>
      </c>
      <c r="E69" s="37">
        <v>35390</v>
      </c>
      <c r="F69" s="38" t="s">
        <v>203</v>
      </c>
      <c r="G69" s="36">
        <v>35</v>
      </c>
      <c r="H69" s="39">
        <v>27.1</v>
      </c>
      <c r="I69" s="39">
        <f>G69*H69</f>
        <v>948.5</v>
      </c>
      <c r="J69" s="40" t="str">
        <f>TEXT(E69,"ddd")</f>
        <v>Thu</v>
      </c>
    </row>
    <row r="70" spans="1:10" ht="15.75" x14ac:dyDescent="0.25">
      <c r="A70" s="36">
        <v>65</v>
      </c>
      <c r="B70" s="36" t="s">
        <v>199</v>
      </c>
      <c r="C70" s="36" t="s">
        <v>150</v>
      </c>
      <c r="D70" s="36" t="s">
        <v>151</v>
      </c>
      <c r="E70" s="37">
        <v>34364</v>
      </c>
      <c r="F70" s="38" t="s">
        <v>204</v>
      </c>
      <c r="G70" s="36">
        <v>35</v>
      </c>
      <c r="H70" s="39">
        <v>39</v>
      </c>
      <c r="I70" s="39">
        <f>G70*H70</f>
        <v>1365</v>
      </c>
      <c r="J70" s="40" t="str">
        <f>TEXT(E70,"ddd")</f>
        <v>Sun</v>
      </c>
    </row>
    <row r="71" spans="1:10" ht="15.75" x14ac:dyDescent="0.25">
      <c r="A71" s="36">
        <v>66</v>
      </c>
      <c r="B71" s="36" t="s">
        <v>200</v>
      </c>
      <c r="C71" s="36" t="s">
        <v>58</v>
      </c>
      <c r="D71" s="36" t="s">
        <v>152</v>
      </c>
      <c r="E71" s="37">
        <v>33688</v>
      </c>
      <c r="F71" s="38" t="s">
        <v>205</v>
      </c>
      <c r="G71" s="36">
        <v>35.5</v>
      </c>
      <c r="H71" s="39">
        <v>28.3</v>
      </c>
      <c r="I71" s="39">
        <f>G71*H71</f>
        <v>1004.65</v>
      </c>
      <c r="J71" s="40" t="str">
        <f>TEXT(E71,"ddd")</f>
        <v>Wed</v>
      </c>
    </row>
    <row r="72" spans="1:10" ht="15.75" x14ac:dyDescent="0.25">
      <c r="A72" s="36">
        <v>67</v>
      </c>
      <c r="B72" s="36" t="s">
        <v>201</v>
      </c>
      <c r="C72" s="36" t="s">
        <v>153</v>
      </c>
      <c r="D72" s="36" t="s">
        <v>154</v>
      </c>
      <c r="E72" s="37">
        <v>35038</v>
      </c>
      <c r="F72" s="38" t="s">
        <v>203</v>
      </c>
      <c r="G72" s="36">
        <v>29.5</v>
      </c>
      <c r="H72" s="39">
        <v>21.5</v>
      </c>
      <c r="I72" s="39">
        <f>G72*H72</f>
        <v>634.25</v>
      </c>
      <c r="J72" s="40" t="str">
        <f>TEXT(E72,"ddd")</f>
        <v>Tue</v>
      </c>
    </row>
    <row r="73" spans="1:10" ht="15.75" x14ac:dyDescent="0.25">
      <c r="A73" s="36">
        <v>36</v>
      </c>
      <c r="B73" s="36" t="s">
        <v>202</v>
      </c>
      <c r="C73" s="36" t="s">
        <v>98</v>
      </c>
      <c r="D73" s="36" t="s">
        <v>99</v>
      </c>
      <c r="E73" s="37">
        <v>34483</v>
      </c>
      <c r="F73" s="38" t="s">
        <v>205</v>
      </c>
      <c r="G73" s="36">
        <v>40</v>
      </c>
      <c r="H73" s="39">
        <v>23.75</v>
      </c>
      <c r="I73" s="39">
        <f>G73*H73</f>
        <v>950</v>
      </c>
      <c r="J73" s="40" t="str">
        <f>TEXT(E73,"ddd")</f>
        <v>Sun</v>
      </c>
    </row>
    <row r="74" spans="1:10" ht="15.75" x14ac:dyDescent="0.25">
      <c r="A74" s="36">
        <v>69</v>
      </c>
      <c r="B74" s="36" t="s">
        <v>199</v>
      </c>
      <c r="C74" s="36" t="s">
        <v>156</v>
      </c>
      <c r="D74" s="36" t="s">
        <v>157</v>
      </c>
      <c r="E74" s="37">
        <v>36231</v>
      </c>
      <c r="F74" s="38" t="s">
        <v>205</v>
      </c>
      <c r="G74" s="36">
        <v>35</v>
      </c>
      <c r="H74" s="39">
        <v>27.1</v>
      </c>
      <c r="I74" s="39">
        <f>G74*H74</f>
        <v>948.5</v>
      </c>
      <c r="J74" s="40" t="str">
        <f>TEXT(E74,"ddd")</f>
        <v>Fri</v>
      </c>
    </row>
    <row r="75" spans="1:10" ht="15.75" x14ac:dyDescent="0.25">
      <c r="A75" s="36">
        <v>70</v>
      </c>
      <c r="B75" s="36" t="s">
        <v>200</v>
      </c>
      <c r="C75" s="36" t="s">
        <v>81</v>
      </c>
      <c r="D75" s="36" t="s">
        <v>73</v>
      </c>
      <c r="E75" s="37">
        <v>35759</v>
      </c>
      <c r="F75" s="38" t="s">
        <v>203</v>
      </c>
      <c r="G75" s="36">
        <v>42</v>
      </c>
      <c r="H75" s="39">
        <v>39</v>
      </c>
      <c r="I75" s="39">
        <f>G75*H75</f>
        <v>1638</v>
      </c>
      <c r="J75" s="40" t="str">
        <f>TEXT(E75,"ddd")</f>
        <v>Tue</v>
      </c>
    </row>
    <row r="76" spans="1:10" ht="15.75" x14ac:dyDescent="0.25">
      <c r="A76" s="36">
        <v>71</v>
      </c>
      <c r="B76" s="36" t="s">
        <v>201</v>
      </c>
      <c r="C76" s="36" t="s">
        <v>158</v>
      </c>
      <c r="D76" s="36" t="s">
        <v>159</v>
      </c>
      <c r="E76" s="37">
        <v>36312</v>
      </c>
      <c r="F76" s="38" t="s">
        <v>204</v>
      </c>
      <c r="G76" s="36">
        <v>29.5</v>
      </c>
      <c r="H76" s="39">
        <v>28.3</v>
      </c>
      <c r="I76" s="39">
        <f>G76*H76</f>
        <v>834.85</v>
      </c>
      <c r="J76" s="40" t="str">
        <f>TEXT(E76,"ddd")</f>
        <v>Tue</v>
      </c>
    </row>
    <row r="77" spans="1:10" ht="15.75" x14ac:dyDescent="0.25">
      <c r="A77" s="36">
        <v>68</v>
      </c>
      <c r="B77" s="36" t="s">
        <v>202</v>
      </c>
      <c r="C77" s="36" t="s">
        <v>155</v>
      </c>
      <c r="D77" s="36" t="s">
        <v>37</v>
      </c>
      <c r="E77" s="37">
        <v>35715</v>
      </c>
      <c r="F77" s="38" t="s">
        <v>204</v>
      </c>
      <c r="G77" s="36">
        <v>40</v>
      </c>
      <c r="H77" s="39">
        <v>35</v>
      </c>
      <c r="I77" s="39">
        <f>G77*H77</f>
        <v>1400</v>
      </c>
      <c r="J77" s="40" t="str">
        <f>TEXT(E77,"ddd")</f>
        <v>Sun</v>
      </c>
    </row>
    <row r="78" spans="1:10" ht="15.75" x14ac:dyDescent="0.25">
      <c r="A78" s="36">
        <v>73</v>
      </c>
      <c r="B78" s="36" t="s">
        <v>199</v>
      </c>
      <c r="C78" s="36" t="s">
        <v>162</v>
      </c>
      <c r="D78" s="36" t="s">
        <v>163</v>
      </c>
      <c r="E78" s="37">
        <v>33646</v>
      </c>
      <c r="F78" s="38" t="s">
        <v>203</v>
      </c>
      <c r="G78" s="36">
        <v>40</v>
      </c>
      <c r="H78" s="39">
        <v>22.22</v>
      </c>
      <c r="I78" s="39">
        <f>G78*H78</f>
        <v>888.8</v>
      </c>
      <c r="J78" s="40" t="str">
        <f>TEXT(E78,"ddd")</f>
        <v>Wed</v>
      </c>
    </row>
    <row r="79" spans="1:10" ht="15.75" x14ac:dyDescent="0.25">
      <c r="A79" s="36">
        <v>74</v>
      </c>
      <c r="B79" s="36" t="s">
        <v>200</v>
      </c>
      <c r="C79" s="36" t="s">
        <v>164</v>
      </c>
      <c r="D79" s="36" t="s">
        <v>39</v>
      </c>
      <c r="E79" s="37">
        <v>32919</v>
      </c>
      <c r="F79" s="38" t="s">
        <v>204</v>
      </c>
      <c r="G79" s="36">
        <v>40</v>
      </c>
      <c r="H79" s="39">
        <v>27.1</v>
      </c>
      <c r="I79" s="39">
        <f>G79*H79</f>
        <v>1084</v>
      </c>
      <c r="J79" s="40" t="str">
        <f>TEXT(E79,"ddd")</f>
        <v>Thu</v>
      </c>
    </row>
    <row r="80" spans="1:10" ht="15.75" x14ac:dyDescent="0.25">
      <c r="A80" s="36">
        <v>75</v>
      </c>
      <c r="B80" s="36" t="s">
        <v>201</v>
      </c>
      <c r="C80" s="36" t="s">
        <v>165</v>
      </c>
      <c r="D80" s="36" t="s">
        <v>166</v>
      </c>
      <c r="E80" s="37">
        <v>33831</v>
      </c>
      <c r="F80" s="38" t="s">
        <v>205</v>
      </c>
      <c r="G80" s="36">
        <v>29.5</v>
      </c>
      <c r="H80" s="39">
        <v>31.75</v>
      </c>
      <c r="I80" s="39">
        <f>G80*H80</f>
        <v>936.625</v>
      </c>
      <c r="J80" s="40" t="str">
        <f>TEXT(E80,"ddd")</f>
        <v>Sat</v>
      </c>
    </row>
    <row r="81" spans="1:10" ht="15.75" x14ac:dyDescent="0.25">
      <c r="A81" s="36">
        <v>76</v>
      </c>
      <c r="B81" s="36" t="s">
        <v>202</v>
      </c>
      <c r="C81" s="36" t="s">
        <v>167</v>
      </c>
      <c r="D81" s="36" t="s">
        <v>168</v>
      </c>
      <c r="E81" s="37">
        <v>35728</v>
      </c>
      <c r="F81" s="38" t="s">
        <v>203</v>
      </c>
      <c r="G81" s="36">
        <v>40</v>
      </c>
      <c r="H81" s="39">
        <v>21.5</v>
      </c>
      <c r="I81" s="39">
        <f>G81*H81</f>
        <v>860</v>
      </c>
      <c r="J81" s="40" t="str">
        <f>TEXT(E81,"ddd")</f>
        <v>Sat</v>
      </c>
    </row>
    <row r="82" spans="1:10" ht="15.75" x14ac:dyDescent="0.25">
      <c r="A82" s="36">
        <v>77</v>
      </c>
      <c r="B82" s="36" t="s">
        <v>199</v>
      </c>
      <c r="C82" s="36" t="s">
        <v>169</v>
      </c>
      <c r="D82" s="36" t="s">
        <v>170</v>
      </c>
      <c r="E82" s="37">
        <v>34679</v>
      </c>
      <c r="F82" s="38" t="s">
        <v>204</v>
      </c>
      <c r="G82" s="36">
        <v>40</v>
      </c>
      <c r="H82" s="39">
        <v>34.5</v>
      </c>
      <c r="I82" s="39">
        <f>G82*H82</f>
        <v>1380</v>
      </c>
      <c r="J82" s="40" t="str">
        <f>TEXT(E82,"ddd")</f>
        <v>Sun</v>
      </c>
    </row>
    <row r="83" spans="1:10" ht="15.75" x14ac:dyDescent="0.25">
      <c r="A83" s="36">
        <v>78</v>
      </c>
      <c r="B83" s="36" t="s">
        <v>200</v>
      </c>
      <c r="C83" s="36" t="s">
        <v>44</v>
      </c>
      <c r="D83" s="36" t="s">
        <v>171</v>
      </c>
      <c r="E83" s="37">
        <v>36221</v>
      </c>
      <c r="F83" s="38" t="s">
        <v>205</v>
      </c>
      <c r="G83" s="36">
        <v>40</v>
      </c>
      <c r="H83" s="39">
        <v>48</v>
      </c>
      <c r="I83" s="39">
        <f>G83*H83</f>
        <v>1920</v>
      </c>
      <c r="J83" s="40" t="str">
        <f>TEXT(E83,"ddd")</f>
        <v>Tue</v>
      </c>
    </row>
    <row r="84" spans="1:10" ht="15.75" x14ac:dyDescent="0.25">
      <c r="A84" s="36">
        <v>79</v>
      </c>
      <c r="B84" s="36" t="s">
        <v>201</v>
      </c>
      <c r="C84" s="36" t="s">
        <v>172</v>
      </c>
      <c r="D84" s="36" t="s">
        <v>173</v>
      </c>
      <c r="E84" s="37">
        <v>34171</v>
      </c>
      <c r="F84" s="38" t="s">
        <v>203</v>
      </c>
      <c r="G84" s="36">
        <v>40</v>
      </c>
      <c r="H84" s="39">
        <v>30</v>
      </c>
      <c r="I84" s="39">
        <f>G84*H84</f>
        <v>1200</v>
      </c>
      <c r="J84" s="40" t="str">
        <f>TEXT(E84,"ddd")</f>
        <v>Wed</v>
      </c>
    </row>
    <row r="85" spans="1:10" ht="15.75" x14ac:dyDescent="0.25">
      <c r="A85" s="36">
        <v>80</v>
      </c>
      <c r="B85" s="36" t="s">
        <v>202</v>
      </c>
      <c r="C85" s="36"/>
      <c r="D85" s="36"/>
      <c r="E85" s="37"/>
      <c r="F85" s="38" t="s">
        <v>204</v>
      </c>
      <c r="G85" s="36">
        <v>40</v>
      </c>
      <c r="H85" s="39">
        <v>21.5</v>
      </c>
      <c r="I85" s="39">
        <f>G85*H85</f>
        <v>860</v>
      </c>
      <c r="J85" s="40" t="str">
        <f>TEXT(E85,"ddd")</f>
        <v>Sat</v>
      </c>
    </row>
    <row r="86" spans="1:10" ht="15.75" x14ac:dyDescent="0.25">
      <c r="A86" s="36">
        <v>72</v>
      </c>
      <c r="B86" s="36" t="s">
        <v>202</v>
      </c>
      <c r="C86" s="36" t="s">
        <v>160</v>
      </c>
      <c r="D86" s="36" t="s">
        <v>161</v>
      </c>
      <c r="E86" s="37">
        <v>34609</v>
      </c>
      <c r="F86" s="38" t="s">
        <v>205</v>
      </c>
      <c r="G86" s="36">
        <v>40</v>
      </c>
      <c r="H86" s="39">
        <v>21.5</v>
      </c>
      <c r="I86" s="39">
        <f>G86*H86</f>
        <v>860</v>
      </c>
      <c r="J86" s="40" t="str">
        <f>TEXT(E86,"ddd")</f>
        <v>Sun</v>
      </c>
    </row>
    <row r="87" spans="1:10" ht="15.75" x14ac:dyDescent="0.25">
      <c r="A87" s="36">
        <v>82</v>
      </c>
      <c r="B87" s="36" t="s">
        <v>200</v>
      </c>
      <c r="C87" s="36" t="s">
        <v>176</v>
      </c>
      <c r="D87" s="36" t="s">
        <v>177</v>
      </c>
      <c r="E87" s="37">
        <v>35451</v>
      </c>
      <c r="F87" s="38" t="s">
        <v>203</v>
      </c>
      <c r="G87" s="36">
        <v>29.5</v>
      </c>
      <c r="H87" s="39">
        <v>30</v>
      </c>
      <c r="I87" s="39">
        <f>G87*H87</f>
        <v>885</v>
      </c>
      <c r="J87" s="40" t="str">
        <f>TEXT(E87,"ddd")</f>
        <v>Tue</v>
      </c>
    </row>
    <row r="88" spans="1:10" ht="15.75" x14ac:dyDescent="0.25">
      <c r="A88" s="36">
        <v>83</v>
      </c>
      <c r="B88" s="36" t="s">
        <v>201</v>
      </c>
      <c r="C88" s="36" t="s">
        <v>178</v>
      </c>
      <c r="D88" s="36" t="s">
        <v>179</v>
      </c>
      <c r="E88" s="37">
        <v>32568</v>
      </c>
      <c r="F88" s="38" t="s">
        <v>204</v>
      </c>
      <c r="G88" s="36">
        <v>15.5</v>
      </c>
      <c r="H88" s="39">
        <v>27.6</v>
      </c>
      <c r="I88" s="39">
        <f>G88*H88</f>
        <v>427.8</v>
      </c>
      <c r="J88" s="40" t="str">
        <f>TEXT(E88,"ddd")</f>
        <v>Wed</v>
      </c>
    </row>
    <row r="89" spans="1:10" ht="15.75" x14ac:dyDescent="0.25">
      <c r="A89" s="36">
        <v>84</v>
      </c>
      <c r="B89" s="36" t="s">
        <v>202</v>
      </c>
      <c r="C89" s="36" t="s">
        <v>180</v>
      </c>
      <c r="D89" s="36" t="s">
        <v>181</v>
      </c>
      <c r="E89" s="37">
        <v>34673</v>
      </c>
      <c r="F89" s="38" t="s">
        <v>205</v>
      </c>
      <c r="G89" s="36">
        <v>32</v>
      </c>
      <c r="H89" s="39">
        <v>23.75</v>
      </c>
      <c r="I89" s="39">
        <f>G89*H89</f>
        <v>760</v>
      </c>
      <c r="J89" s="40" t="str">
        <f>TEXT(E89,"ddd")</f>
        <v>Mon</v>
      </c>
    </row>
    <row r="90" spans="1:10" ht="15.75" x14ac:dyDescent="0.25">
      <c r="A90" s="36">
        <v>85</v>
      </c>
      <c r="B90" s="36" t="s">
        <v>199</v>
      </c>
      <c r="C90" s="36" t="s">
        <v>182</v>
      </c>
      <c r="D90" s="36" t="s">
        <v>183</v>
      </c>
      <c r="E90" s="37">
        <v>35916</v>
      </c>
      <c r="F90" s="38" t="s">
        <v>203</v>
      </c>
      <c r="G90" s="36">
        <v>42</v>
      </c>
      <c r="H90" s="39">
        <v>30.5</v>
      </c>
      <c r="I90" s="39">
        <f>G90*H90</f>
        <v>1281</v>
      </c>
      <c r="J90" s="40" t="str">
        <f>TEXT(E90,"ddd")</f>
        <v>Fri</v>
      </c>
    </row>
    <row r="91" spans="1:10" ht="15.75" x14ac:dyDescent="0.25">
      <c r="A91" s="36">
        <v>86</v>
      </c>
      <c r="B91" s="36" t="s">
        <v>200</v>
      </c>
      <c r="C91" s="36" t="s">
        <v>184</v>
      </c>
      <c r="D91" s="36" t="s">
        <v>73</v>
      </c>
      <c r="E91" s="37">
        <v>34610</v>
      </c>
      <c r="F91" s="38" t="s">
        <v>204</v>
      </c>
      <c r="G91" s="36">
        <v>40</v>
      </c>
      <c r="H91" s="39">
        <v>30</v>
      </c>
      <c r="I91" s="39">
        <f>G91*H91</f>
        <v>1200</v>
      </c>
      <c r="J91" s="40" t="str">
        <f>TEXT(E91,"ddd")</f>
        <v>Mon</v>
      </c>
    </row>
    <row r="92" spans="1:10" ht="15.75" x14ac:dyDescent="0.25">
      <c r="A92" s="36">
        <v>87</v>
      </c>
      <c r="B92" s="36" t="s">
        <v>201</v>
      </c>
      <c r="C92" s="36" t="s">
        <v>185</v>
      </c>
      <c r="D92" s="36" t="s">
        <v>186</v>
      </c>
      <c r="E92" s="37">
        <v>35739</v>
      </c>
      <c r="F92" s="38" t="s">
        <v>205</v>
      </c>
      <c r="G92" s="36">
        <v>35</v>
      </c>
      <c r="H92" s="39">
        <v>60</v>
      </c>
      <c r="I92" s="39">
        <f>G92*H92</f>
        <v>2100</v>
      </c>
      <c r="J92" s="40" t="str">
        <f>TEXT(E92,"ddd")</f>
        <v>Wed</v>
      </c>
    </row>
    <row r="93" spans="1:10" ht="15.75" x14ac:dyDescent="0.25">
      <c r="A93" s="36">
        <v>88</v>
      </c>
      <c r="B93" s="36" t="s">
        <v>202</v>
      </c>
      <c r="C93" s="36" t="s">
        <v>66</v>
      </c>
      <c r="D93" s="36" t="s">
        <v>187</v>
      </c>
      <c r="E93" s="37">
        <v>31884</v>
      </c>
      <c r="F93" s="38" t="s">
        <v>203</v>
      </c>
      <c r="G93" s="36">
        <v>40</v>
      </c>
      <c r="H93" s="39">
        <v>21.5</v>
      </c>
      <c r="I93" s="39">
        <f>G93*H93</f>
        <v>860</v>
      </c>
      <c r="J93" s="40" t="str">
        <f>TEXT(E93,"ddd")</f>
        <v>Fri</v>
      </c>
    </row>
    <row r="94" spans="1:10" ht="15.75" x14ac:dyDescent="0.25">
      <c r="A94" s="36">
        <v>89</v>
      </c>
      <c r="B94" s="36" t="s">
        <v>199</v>
      </c>
      <c r="C94" s="36" t="s">
        <v>188</v>
      </c>
      <c r="D94" s="36" t="s">
        <v>189</v>
      </c>
      <c r="E94" s="37">
        <v>34879</v>
      </c>
      <c r="F94" s="38" t="s">
        <v>204</v>
      </c>
      <c r="G94" s="36">
        <v>40</v>
      </c>
      <c r="H94" s="39">
        <v>21.5</v>
      </c>
      <c r="I94" s="39">
        <f>G94*H94</f>
        <v>860</v>
      </c>
      <c r="J94" s="40" t="str">
        <f>TEXT(E94,"ddd")</f>
        <v>Thu</v>
      </c>
    </row>
    <row r="95" spans="1:10" ht="15.75" x14ac:dyDescent="0.25">
      <c r="A95" s="36">
        <v>90</v>
      </c>
      <c r="B95" s="36" t="s">
        <v>200</v>
      </c>
      <c r="C95" s="36" t="s">
        <v>190</v>
      </c>
      <c r="D95" s="36" t="s">
        <v>191</v>
      </c>
      <c r="E95" s="37">
        <v>34758</v>
      </c>
      <c r="F95" s="38" t="s">
        <v>205</v>
      </c>
      <c r="G95" s="36">
        <v>15.5</v>
      </c>
      <c r="H95" s="39">
        <v>20.5</v>
      </c>
      <c r="I95" s="39">
        <f>G95*H95</f>
        <v>317.75</v>
      </c>
      <c r="J95" s="40" t="str">
        <f>TEXT(E95,"ddd")</f>
        <v>Tue</v>
      </c>
    </row>
    <row r="96" spans="1:10" ht="15.75" x14ac:dyDescent="0.25">
      <c r="A96" s="36">
        <v>91</v>
      </c>
      <c r="B96" s="36" t="s">
        <v>201</v>
      </c>
      <c r="C96" s="36" t="s">
        <v>105</v>
      </c>
      <c r="D96" s="36" t="s">
        <v>192</v>
      </c>
      <c r="E96" s="37">
        <v>35055</v>
      </c>
      <c r="F96" s="38" t="s">
        <v>203</v>
      </c>
      <c r="G96" s="36">
        <v>40</v>
      </c>
      <c r="H96" s="39">
        <v>31.75</v>
      </c>
      <c r="I96" s="39">
        <f>G96*H96</f>
        <v>1270</v>
      </c>
      <c r="J96" s="40" t="str">
        <f>TEXT(E96,"ddd")</f>
        <v>Fri</v>
      </c>
    </row>
    <row r="97" spans="1:10" ht="15.75" x14ac:dyDescent="0.25">
      <c r="A97" s="36">
        <v>92</v>
      </c>
      <c r="B97" s="36" t="s">
        <v>202</v>
      </c>
      <c r="C97" s="36" t="s">
        <v>193</v>
      </c>
      <c r="D97" s="36" t="s">
        <v>194</v>
      </c>
      <c r="E97" s="37">
        <v>33568</v>
      </c>
      <c r="F97" s="38" t="s">
        <v>204</v>
      </c>
      <c r="G97" s="36">
        <v>40</v>
      </c>
      <c r="H97" s="39">
        <v>22.22</v>
      </c>
      <c r="I97" s="39">
        <f>G97*H97</f>
        <v>888.8</v>
      </c>
      <c r="J97" s="40" t="str">
        <f>TEXT(E97,"ddd")</f>
        <v>Tue</v>
      </c>
    </row>
    <row r="98" spans="1:10" ht="15.75" x14ac:dyDescent="0.25">
      <c r="A98" s="36">
        <v>93</v>
      </c>
      <c r="B98" s="36" t="s">
        <v>199</v>
      </c>
      <c r="C98" s="36" t="s">
        <v>195</v>
      </c>
      <c r="D98" s="36" t="s">
        <v>39</v>
      </c>
      <c r="E98" s="37">
        <v>36256</v>
      </c>
      <c r="F98" s="38" t="s">
        <v>205</v>
      </c>
      <c r="G98" s="36">
        <v>40</v>
      </c>
      <c r="H98" s="39">
        <v>47</v>
      </c>
      <c r="I98" s="39">
        <f>G98*H98</f>
        <v>1880</v>
      </c>
      <c r="J98" s="40" t="str">
        <f>TEXT(E98,"ddd")</f>
        <v>Tue</v>
      </c>
    </row>
    <row r="99" spans="1:10" ht="15.75" x14ac:dyDescent="0.25">
      <c r="A99" s="36">
        <v>94</v>
      </c>
      <c r="B99" s="36" t="s">
        <v>200</v>
      </c>
      <c r="C99" s="36" t="s">
        <v>196</v>
      </c>
      <c r="D99" s="36" t="s">
        <v>197</v>
      </c>
      <c r="E99" s="37">
        <v>36037</v>
      </c>
      <c r="F99" s="38" t="s">
        <v>203</v>
      </c>
      <c r="G99" s="36">
        <v>15.5</v>
      </c>
      <c r="H99" s="39">
        <v>21.5</v>
      </c>
      <c r="I99" s="39">
        <f t="shared" ref="I70:I99" si="0">G99*H99</f>
        <v>333.25</v>
      </c>
      <c r="J99" s="40" t="str">
        <f t="shared" ref="J70:J99" si="1">TEXT(E99,"ddd")</f>
        <v>Sun</v>
      </c>
    </row>
  </sheetData>
  <sortState xmlns:xlrd2="http://schemas.microsoft.com/office/spreadsheetml/2017/richdata2" ref="A18:J86">
    <sortCondition ref="B21:B9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v_Fil">
                <anchor moveWithCells="1">
                  <from>
                    <xdr:col>11</xdr:col>
                    <xdr:colOff>28575</xdr:colOff>
                    <xdr:row>0</xdr:row>
                    <xdr:rowOff>66675</xdr:rowOff>
                  </from>
                  <to>
                    <xdr:col>11</xdr:col>
                    <xdr:colOff>552450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2250B-F73A-4154-B18B-33D8BDE392BA}">
  <dimension ref="A1:F12"/>
  <sheetViews>
    <sheetView showGridLines="0" tabSelected="1" zoomScale="190" zoomScaleNormal="190" workbookViewId="0">
      <selection activeCell="D3" sqref="D3"/>
    </sheetView>
  </sheetViews>
  <sheetFormatPr defaultColWidth="0" defaultRowHeight="15" zeroHeight="1" x14ac:dyDescent="0.25"/>
  <cols>
    <col min="1" max="1" width="1.5703125" customWidth="1"/>
    <col min="2" max="2" width="15.42578125" customWidth="1"/>
    <col min="3" max="3" width="1.140625" customWidth="1"/>
    <col min="4" max="4" width="23.5703125" customWidth="1"/>
    <col min="5" max="5" width="1.42578125" customWidth="1"/>
    <col min="6" max="6" width="1.5703125" customWidth="1"/>
    <col min="7" max="16384" width="9.140625" hidden="1"/>
  </cols>
  <sheetData>
    <row r="1" spans="1:5" ht="31.5" x14ac:dyDescent="0.5">
      <c r="A1" s="60" t="s">
        <v>207</v>
      </c>
      <c r="B1" s="61"/>
      <c r="C1" s="61"/>
      <c r="D1" s="61"/>
      <c r="E1" s="62"/>
    </row>
    <row r="2" spans="1:5" x14ac:dyDescent="0.25">
      <c r="A2" s="63"/>
      <c r="B2" s="54"/>
      <c r="C2" s="54"/>
      <c r="D2" s="54"/>
      <c r="E2" s="64"/>
    </row>
    <row r="3" spans="1:5" x14ac:dyDescent="0.25">
      <c r="A3" s="63"/>
      <c r="B3" s="48" t="s">
        <v>208</v>
      </c>
      <c r="C3" s="49" t="s">
        <v>214</v>
      </c>
      <c r="D3" s="56"/>
      <c r="E3" s="64"/>
    </row>
    <row r="4" spans="1:5" x14ac:dyDescent="0.25">
      <c r="A4" s="63"/>
      <c r="B4" s="50" t="s">
        <v>209</v>
      </c>
      <c r="C4" s="51" t="s">
        <v>214</v>
      </c>
      <c r="D4" s="57"/>
      <c r="E4" s="64"/>
    </row>
    <row r="5" spans="1:5" x14ac:dyDescent="0.25">
      <c r="A5" s="63"/>
      <c r="B5" s="50" t="s">
        <v>210</v>
      </c>
      <c r="C5" s="51" t="s">
        <v>214</v>
      </c>
      <c r="D5" s="57"/>
      <c r="E5" s="64"/>
    </row>
    <row r="6" spans="1:5" x14ac:dyDescent="0.25">
      <c r="A6" s="63"/>
      <c r="B6" s="50" t="s">
        <v>211</v>
      </c>
      <c r="C6" s="51" t="s">
        <v>214</v>
      </c>
      <c r="D6" s="57"/>
      <c r="E6" s="64"/>
    </row>
    <row r="7" spans="1:5" x14ac:dyDescent="0.25">
      <c r="A7" s="63"/>
      <c r="B7" s="50" t="s">
        <v>198</v>
      </c>
      <c r="C7" s="51" t="s">
        <v>214</v>
      </c>
      <c r="D7" s="57"/>
      <c r="E7" s="64"/>
    </row>
    <row r="8" spans="1:5" x14ac:dyDescent="0.25">
      <c r="A8" s="63"/>
      <c r="B8" s="50" t="s">
        <v>212</v>
      </c>
      <c r="C8" s="51" t="s">
        <v>214</v>
      </c>
      <c r="D8" s="58"/>
      <c r="E8" s="64"/>
    </row>
    <row r="9" spans="1:5" x14ac:dyDescent="0.25">
      <c r="A9" s="63"/>
      <c r="B9" s="52" t="s">
        <v>213</v>
      </c>
      <c r="C9" s="53" t="s">
        <v>214</v>
      </c>
      <c r="D9" s="59"/>
      <c r="E9" s="64"/>
    </row>
    <row r="10" spans="1:5" x14ac:dyDescent="0.25">
      <c r="A10" s="63"/>
      <c r="B10" s="54"/>
      <c r="C10" s="54"/>
      <c r="D10" s="54"/>
      <c r="E10" s="64"/>
    </row>
    <row r="11" spans="1:5" ht="15.75" thickBot="1" x14ac:dyDescent="0.3">
      <c r="A11" s="65"/>
      <c r="B11" s="66"/>
      <c r="C11" s="66"/>
      <c r="D11" s="66"/>
      <c r="E11" s="67"/>
    </row>
    <row r="12" spans="1:5" ht="4.5" customHeight="1" x14ac:dyDescent="0.25"/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bmit">
                <anchor moveWithCells="1">
                  <from>
                    <xdr:col>3</xdr:col>
                    <xdr:colOff>161925</xdr:colOff>
                    <xdr:row>9</xdr:row>
                    <xdr:rowOff>85725</xdr:rowOff>
                  </from>
                  <to>
                    <xdr:col>3</xdr:col>
                    <xdr:colOff>685800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B727C-E05E-42D7-8C9E-31F71D7E320F}">
  <dimension ref="A1:G3"/>
  <sheetViews>
    <sheetView zoomScale="145" zoomScaleNormal="145" workbookViewId="0">
      <selection activeCell="A2" sqref="A2"/>
    </sheetView>
  </sheetViews>
  <sheetFormatPr defaultRowHeight="15" x14ac:dyDescent="0.25"/>
  <cols>
    <col min="2" max="5" width="16.42578125" customWidth="1"/>
    <col min="6" max="6" width="16.42578125" style="55" customWidth="1"/>
    <col min="7" max="7" width="16.42578125" style="68" customWidth="1"/>
  </cols>
  <sheetData>
    <row r="1" spans="1:7" x14ac:dyDescent="0.25">
      <c r="A1" t="s">
        <v>208</v>
      </c>
      <c r="B1" t="s">
        <v>209</v>
      </c>
      <c r="C1" t="s">
        <v>210</v>
      </c>
      <c r="D1" t="s">
        <v>211</v>
      </c>
      <c r="E1" t="s">
        <v>198</v>
      </c>
      <c r="F1" s="55" t="s">
        <v>212</v>
      </c>
      <c r="G1" s="68" t="s">
        <v>213</v>
      </c>
    </row>
    <row r="2" spans="1:7" x14ac:dyDescent="0.25">
      <c r="A2">
        <v>1</v>
      </c>
      <c r="B2" t="s">
        <v>216</v>
      </c>
      <c r="C2" t="s">
        <v>217</v>
      </c>
      <c r="D2" t="s">
        <v>205</v>
      </c>
      <c r="E2" t="s">
        <v>201</v>
      </c>
      <c r="F2" s="55">
        <v>44734</v>
      </c>
      <c r="G2" s="68">
        <v>9876543</v>
      </c>
    </row>
    <row r="3" spans="1:7" x14ac:dyDescent="0.25">
      <c r="A3">
        <v>2</v>
      </c>
      <c r="B3" t="s">
        <v>215</v>
      </c>
      <c r="C3" t="s">
        <v>218</v>
      </c>
      <c r="D3" t="s">
        <v>219</v>
      </c>
      <c r="E3" t="s">
        <v>201</v>
      </c>
      <c r="F3" s="55">
        <v>44734</v>
      </c>
      <c r="G3" s="68">
        <v>876543</v>
      </c>
    </row>
  </sheetData>
  <sortState xmlns:xlrd2="http://schemas.microsoft.com/office/spreadsheetml/2017/richdata2" ref="A2:G3">
    <sortCondition ref="A2:A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Tool Box</vt:lpstr>
      <vt:lpstr>Macro Recording</vt:lpstr>
      <vt:lpstr>Invoice</vt:lpstr>
      <vt:lpstr>Advance Filter</vt:lpstr>
      <vt:lpstr>Form</vt:lpstr>
      <vt:lpstr>Data</vt:lpstr>
      <vt:lpstr>'Advance Filter'!Criteria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Jayakrishnan Nair</dc:creator>
  <cp:lastModifiedBy>Jayakrishnan Nair</cp:lastModifiedBy>
  <dcterms:created xsi:type="dcterms:W3CDTF">2022-06-21T02:08:03Z</dcterms:created>
  <dcterms:modified xsi:type="dcterms:W3CDTF">2022-06-22T02:53:22Z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Name">
    <vt:lpwstr/>
  </property>
</Properties>
</file>